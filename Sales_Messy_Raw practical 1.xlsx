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ATRICK\Downloads\"/>
    </mc:Choice>
  </mc:AlternateContent>
  <bookViews>
    <workbookView xWindow="0" yWindow="0" windowWidth="11670" windowHeight="4635"/>
  </bookViews>
  <sheets>
    <sheet name="Sheet2" sheetId="4" r:id="rId1"/>
    <sheet name="Sales Data" sheetId="1" r:id="rId2"/>
    <sheet name="Product Lookup" sheetId="2" r:id="rId3"/>
  </sheets>
  <calcPr calcId="152511"/>
  <pivotCaches>
    <pivotCache cacheId="10" r:id="rId4"/>
  </pivotCaches>
  <fileRecoveryPr repairLoad="1"/>
</workbook>
</file>

<file path=xl/calcChain.xml><?xml version="1.0" encoding="utf-8"?>
<calcChain xmlns="http://schemas.openxmlformats.org/spreadsheetml/2006/main">
  <c r="D2" i="1" l="1"/>
  <c r="K2" i="1"/>
  <c r="I5" i="1"/>
  <c r="I4" i="1"/>
  <c r="I3" i="1"/>
  <c r="I2" i="1"/>
  <c r="J2" i="1" s="1"/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</calcChain>
</file>

<file path=xl/sharedStrings.xml><?xml version="1.0" encoding="utf-8"?>
<sst xmlns="http://schemas.openxmlformats.org/spreadsheetml/2006/main" count="223" uniqueCount="24">
  <si>
    <t>Region</t>
  </si>
  <si>
    <t>Product</t>
  </si>
  <si>
    <t>Units</t>
  </si>
  <si>
    <t>Sales</t>
  </si>
  <si>
    <t>Widget A</t>
  </si>
  <si>
    <t>Widget B</t>
  </si>
  <si>
    <t>South</t>
  </si>
  <si>
    <t>Gadget X</t>
  </si>
  <si>
    <t>West</t>
  </si>
  <si>
    <t>Tool Z</t>
  </si>
  <si>
    <t>North</t>
  </si>
  <si>
    <t>Tool Q</t>
  </si>
  <si>
    <t>Gadget Y</t>
  </si>
  <si>
    <t>East</t>
  </si>
  <si>
    <t>Price</t>
  </si>
  <si>
    <t xml:space="preserve">Date </t>
  </si>
  <si>
    <t>Units Price</t>
  </si>
  <si>
    <t>Total of Region sales</t>
  </si>
  <si>
    <t>Total Sales</t>
  </si>
  <si>
    <t>Price per Region</t>
  </si>
  <si>
    <t>Row Labels</t>
  </si>
  <si>
    <t>Grand Total</t>
  </si>
  <si>
    <t>Sum of Sales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</si>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</sst>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[$-409]d\-mmm\-yyyy;@"/>
  </numFmts>
  <fonts count="6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1"/>
      <name val="Arial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164" fontId="4" fillId="0" borderId="0" xfId="0" applyNumberFormat="1" applyFont="1"/>
    <xf numFmtId="164" fontId="5" fillId="0" borderId="0" xfId="0" applyNumberFormat="1" applyFont="1"/>
    <xf numFmtId="164" fontId="0" fillId="0" borderId="0" xfId="0" applyNumberFormat="1"/>
    <xf numFmtId="0" fontId="2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[Sales_Messy_Raw practical 1.xlsx]Sheet2!PivotTable2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9.75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Sheet2!$B$5:$B$9</c:f>
              <c:numCache>
                <c:formatCode>General</c:formatCode>
                <c:ptCount val="4"/>
                <c:pt idx="0">
                  <c:v>469.76</c:v>
                </c:pt>
                <c:pt idx="1">
                  <c:v>325.19</c:v>
                </c:pt>
                <c:pt idx="2">
                  <c:v>716.68000000000006</c:v>
                </c:pt>
                <c:pt idx="3">
                  <c:v>1042.78</c:v>
                </c:pt>
              </c:numCache>
            </c:numRef>
          </c:val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12.5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Sheet2!$C$5:$C$9</c:f>
              <c:numCache>
                <c:formatCode>General</c:formatCode>
                <c:ptCount val="4"/>
                <c:pt idx="0">
                  <c:v>534.02</c:v>
                </c:pt>
                <c:pt idx="1">
                  <c:v>856.57999999999993</c:v>
                </c:pt>
                <c:pt idx="2">
                  <c:v>1507.2400000000002</c:v>
                </c:pt>
                <c:pt idx="3">
                  <c:v>445.49</c:v>
                </c:pt>
              </c:numCache>
            </c:numRef>
          </c:val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Sheet2!$D$5:$D$9</c:f>
              <c:numCache>
                <c:formatCode>General</c:formatCode>
                <c:ptCount val="4"/>
                <c:pt idx="0">
                  <c:v>3891.1099999999997</c:v>
                </c:pt>
                <c:pt idx="1">
                  <c:v>1528.97</c:v>
                </c:pt>
                <c:pt idx="2">
                  <c:v>1605.88</c:v>
                </c:pt>
                <c:pt idx="3">
                  <c:v>1907.72</c:v>
                </c:pt>
              </c:numCache>
            </c:numRef>
          </c:val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27.25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Sheet2!$E$5:$E$9</c:f>
              <c:numCache>
                <c:formatCode>General</c:formatCode>
                <c:ptCount val="4"/>
                <c:pt idx="0">
                  <c:v>1579.55</c:v>
                </c:pt>
                <c:pt idx="1">
                  <c:v>2527.84</c:v>
                </c:pt>
                <c:pt idx="2">
                  <c:v>1461.64</c:v>
                </c:pt>
                <c:pt idx="3">
                  <c:v>2153.5</c:v>
                </c:pt>
              </c:numCache>
            </c:numRef>
          </c:val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45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Sheet2!$A$5:$A$9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Sheet2!$F$5:$F$9</c:f>
              <c:numCache>
                <c:formatCode>General</c:formatCode>
                <c:ptCount val="4"/>
                <c:pt idx="0">
                  <c:v>1422.81</c:v>
                </c:pt>
                <c:pt idx="1">
                  <c:v>3073.48</c:v>
                </c:pt>
                <c:pt idx="2">
                  <c:v>2712.0400000000004</c:v>
                </c:pt>
                <c:pt idx="3">
                  <c:v>1708.6599999999999</c:v>
                </c:pt>
              </c:numCache>
            </c:numRef>
          </c:val>
        </c:ser>
        <c:ser>
          <c:idx val="5"/>
          <c:order val="5"/>
          <c:tx>
            <c:strRef>
              <c:f>Sheet2!$G$3:$G$4</c:f>
              <c:strCache>
                <c:ptCount val="1"/>
                <c:pt idx="0">
                  <c:v>60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Sheet2!$A$5:$A$9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Sheet2!$G$5:$G$9</c:f>
              <c:numCache>
                <c:formatCode>General</c:formatCode>
                <c:ptCount val="4"/>
                <c:pt idx="0">
                  <c:v>356.53000000000003</c:v>
                </c:pt>
                <c:pt idx="1">
                  <c:v>1219.9100000000001</c:v>
                </c:pt>
                <c:pt idx="2">
                  <c:v>4963.0200000000004</c:v>
                </c:pt>
                <c:pt idx="3">
                  <c:v>7320.16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4809584"/>
        <c:axId val="384815072"/>
      </c:barChart>
      <c:catAx>
        <c:axId val="384809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815072"/>
        <c:crosses val="autoZero"/>
        <c:auto val="1"/>
        <c:lblAlgn val="ctr"/>
        <c:lblOffset val="100"/>
        <c:noMultiLvlLbl val="0"/>
      </c:catAx>
      <c:valAx>
        <c:axId val="38481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809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185736</xdr:colOff>
      <xdr:row>10</xdr:row>
      <xdr:rowOff>23811</xdr:rowOff>
    </xdr:from>
    <xdr:to>
      <xdr:col>10</xdr:col>
      <xdr:colOff>95250</xdr:colOff>
      <xdr:row>29</xdr:row>
      <xdr:rowOff>9524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ATRICK" refreshedDate="46294.336113773148" createdVersion="5" refreshedVersion="5" minRefreshableVersion="3" recordCount="96">
  <cacheSource type="worksheet">
    <worksheetSource ref="A1:F97" sheet="Sales Data"/>
  </cacheSource>
  <cacheFields count="6">
    <cacheField name="Date " numFmtId="164">
      <sharedItems containsSemiMixedTypes="0" containsNonDate="0" containsDate="1" containsString="0" minDate="2024-01-01T00:00:00" maxDate="2024-07-29T00:00:00" count="73">
        <d v="2024-04-23T00:00:00"/>
        <d v="2024-05-18T00:00:00"/>
        <d v="2024-05-23T00:00:00"/>
        <d v="2024-03-29T00:00:00"/>
        <d v="2024-04-12T00:00:00"/>
        <d v="2024-01-12T00:00:00"/>
        <d v="2024-07-22T00:00:00"/>
        <d v="2024-02-29T00:00:00"/>
        <d v="2024-01-27T00:00:00"/>
        <d v="2024-06-12T00:00:00"/>
        <d v="2024-05-15T00:00:00"/>
        <d v="2024-02-02T00:00:00"/>
        <d v="2024-01-28T00:00:00"/>
        <d v="2024-03-24T00:00:00"/>
        <d v="2024-03-10T00:00:00"/>
        <d v="2024-01-22T00:00:00"/>
        <d v="2024-06-28T00:00:00"/>
        <d v="2024-05-20T00:00:00"/>
        <d v="2024-07-14T00:00:00"/>
        <d v="2024-02-24T00:00:00"/>
        <d v="2024-03-27T00:00:00"/>
        <d v="2024-03-03T00:00:00"/>
        <d v="2024-05-10T00:00:00"/>
        <d v="2024-03-11T00:00:00"/>
        <d v="2024-01-16T00:00:00"/>
        <d v="2024-03-21T00:00:00"/>
        <d v="2024-04-28T00:00:00"/>
        <d v="2024-07-28T00:00:00"/>
        <d v="2024-01-19T00:00:00"/>
        <d v="2024-01-07T00:00:00"/>
        <d v="2024-04-27T00:00:00"/>
        <d v="2024-07-25T00:00:00"/>
        <d v="2024-06-20T00:00:00"/>
        <d v="2024-06-14T00:00:00"/>
        <d v="2024-03-31T00:00:00"/>
        <d v="2024-02-14T00:00:00"/>
        <d v="2024-03-06T00:00:00"/>
        <d v="2024-04-02T00:00:00"/>
        <d v="2024-04-04T00:00:00"/>
        <d v="2024-04-30T00:00:00"/>
        <d v="2024-04-09T00:00:00"/>
        <d v="2024-07-20T00:00:00"/>
        <d v="2024-07-26T00:00:00"/>
        <d v="2024-07-15T00:00:00"/>
        <d v="2024-04-26T00:00:00"/>
        <d v="2024-07-16T00:00:00"/>
        <d v="2024-01-08T00:00:00"/>
        <d v="2024-05-09T00:00:00"/>
        <d v="2024-01-02T00:00:00"/>
        <d v="2024-02-05T00:00:00"/>
        <d v="2024-07-03T00:00:00"/>
        <d v="2024-05-07T00:00:00"/>
        <d v="2024-04-06T00:00:00"/>
        <d v="2024-05-04T00:00:00"/>
        <d v="2024-06-18T00:00:00"/>
        <d v="2024-03-12T00:00:00"/>
        <d v="2024-07-09T00:00:00"/>
        <d v="2024-02-12T00:00:00"/>
        <d v="2024-06-27T00:00:00"/>
        <d v="2024-05-13T00:00:00"/>
        <d v="2024-01-11T00:00:00"/>
        <d v="2024-07-21T00:00:00"/>
        <d v="2024-02-16T00:00:00"/>
        <d v="2024-03-08T00:00:00"/>
        <d v="2024-07-11T00:00:00"/>
        <d v="2024-03-02T00:00:00"/>
        <d v="2024-05-22T00:00:00"/>
        <d v="2024-01-01T00:00:00"/>
        <d v="2024-02-22T00:00:00"/>
        <d v="2024-03-01T00:00:00"/>
        <d v="2024-06-15T00:00:00"/>
        <d v="2024-06-21T00:00:00"/>
        <d v="2024-06-25T00:00:00"/>
      </sharedItems>
    </cacheField>
    <cacheField name="Region" numFmtId="0">
      <sharedItems count="4">
        <s v="West"/>
        <s v="South"/>
        <s v="North"/>
        <s v="East"/>
      </sharedItems>
    </cacheField>
    <cacheField name="Product" numFmtId="0">
      <sharedItems count="6">
        <s v="Widget A"/>
        <s v="Widget B"/>
        <s v="Gadget X"/>
        <s v="Tool Z"/>
        <s v="Tool Q"/>
        <s v="Gadget Y"/>
      </sharedItems>
    </cacheField>
    <cacheField name="Units Price" numFmtId="0">
      <sharedItems containsSemiMixedTypes="0" containsString="0" containsNumber="1" minValue="9.75" maxValue="60" count="6">
        <n v="12.5"/>
        <n v="18"/>
        <n v="45"/>
        <n v="9.75"/>
        <n v="27.25"/>
        <n v="60"/>
      </sharedItems>
    </cacheField>
    <cacheField name="Units" numFmtId="0">
      <sharedItems containsSemiMixedTypes="0" containsString="0" containsNumber="1" containsInteger="1" minValue="2" maxValue="40" count="36">
        <n v="10"/>
        <n v="27"/>
        <n v="15"/>
        <n v="8"/>
        <n v="23"/>
        <n v="7"/>
        <n v="24"/>
        <n v="6"/>
        <n v="3"/>
        <n v="35"/>
        <n v="28"/>
        <n v="14"/>
        <n v="17"/>
        <n v="31"/>
        <n v="30"/>
        <n v="16"/>
        <n v="39"/>
        <n v="5"/>
        <n v="20"/>
        <n v="21"/>
        <n v="13"/>
        <n v="2"/>
        <n v="37"/>
        <n v="22"/>
        <n v="12"/>
        <n v="19"/>
        <n v="40"/>
        <n v="34"/>
        <n v="29"/>
        <n v="18"/>
        <n v="11"/>
        <n v="36"/>
        <n v="9"/>
        <n v="4"/>
        <n v="38"/>
        <n v="25"/>
      </sharedItems>
    </cacheField>
    <cacheField name="Sales" numFmtId="0">
      <sharedItems containsSemiMixedTypes="0" containsString="0" containsNumber="1" minValue="30.2" maxValue="2456.09" count="96">
        <n v="125.57"/>
        <n v="480.63"/>
        <n v="708.57"/>
        <n v="81.69"/>
        <n v="1049.6400000000001"/>
        <n v="124.49"/>
        <n v="625.80999999999995"/>
        <n v="334.38"/>
        <n v="72.89"/>
        <n v="55.65"/>
        <n v="977.68"/>
        <n v="337.25"/>
        <n v="139.47"/>
        <n v="1054.1600000000001"/>
        <n v="1011.52"/>
        <n v="582.92999999999995"/>
        <n v="533.49"/>
        <n v="193.33"/>
        <n v="414.08"/>
        <n v="104.29"/>
        <n v="1790.31"/>
        <n v="63.8"/>
        <n v="543.77"/>
        <n v="137.82"/>
        <n v="295.64"/>
        <n v="225.32"/>
        <n v="358.46"/>
        <n v="1223.67"/>
        <n v="171.44"/>
        <n v="233.53"/>
        <n v="339.23"/>
        <n v="36.58"/>
        <n v="695.77"/>
        <n v="1219.9100000000001"/>
        <n v="90.86"/>
        <n v="80.599999999999994"/>
        <n v="40.1"/>
        <n v="830.22"/>
        <n v="345.89"/>
        <n v="383.57"/>
        <n v="640.49"/>
        <n v="293.98"/>
        <n v="246.62"/>
        <n v="92.53"/>
        <n v="321.92"/>
        <n v="840.94"/>
        <n v="782.09"/>
        <n v="656.95"/>
        <n v="640.72"/>
        <n v="281.70999999999998"/>
        <n v="309.95999999999998"/>
        <n v="260.27"/>
        <n v="658.57"/>
        <n v="2194.96"/>
        <n v="609.83000000000004"/>
        <n v="126.59"/>
        <n v="563.62"/>
        <n v="394.74"/>
        <n v="425.83"/>
        <n v="129.34"/>
        <n v="72.569999999999993"/>
        <n v="722.96"/>
        <n v="1015.93"/>
        <n v="332.61"/>
        <n v="129.44999999999999"/>
        <n v="182.81"/>
        <n v="306.41000000000003"/>
        <n v="640.69000000000005"/>
        <n v="30.2"/>
        <n v="2456.09"/>
        <n v="110.89"/>
        <n v="373.67"/>
        <n v="417.21"/>
        <n v="135.84"/>
        <n v="938.99"/>
        <n v="294.23"/>
        <n v="378.65"/>
        <n v="136.02000000000001"/>
        <n v="872.96"/>
        <n v="197.18"/>
        <n v="2152.16"/>
        <n v="549.04999999999995"/>
        <n v="278.39"/>
        <n v="76.010000000000005"/>
        <n v="56.38"/>
        <n v="36.44"/>
        <n v="157.22999999999999"/>
        <n v="272.58"/>
        <n v="1095.22"/>
        <n v="443.28"/>
        <n v="88.89"/>
        <n v="473.9"/>
        <n v="198.87"/>
        <n v="526.66"/>
        <n v="544.35"/>
        <n v="50.1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6">
  <r>
    <x v="0"/>
    <x v="0"/>
    <x v="0"/>
    <x v="0"/>
    <x v="0"/>
    <x v="0"/>
  </r>
  <r>
    <x v="1"/>
    <x v="1"/>
    <x v="1"/>
    <x v="1"/>
    <x v="1"/>
    <x v="1"/>
  </r>
  <r>
    <x v="2"/>
    <x v="1"/>
    <x v="2"/>
    <x v="2"/>
    <x v="2"/>
    <x v="2"/>
  </r>
  <r>
    <x v="3"/>
    <x v="0"/>
    <x v="3"/>
    <x v="3"/>
    <x v="3"/>
    <x v="3"/>
  </r>
  <r>
    <x v="4"/>
    <x v="2"/>
    <x v="2"/>
    <x v="2"/>
    <x v="4"/>
    <x v="4"/>
  </r>
  <r>
    <x v="5"/>
    <x v="2"/>
    <x v="1"/>
    <x v="1"/>
    <x v="5"/>
    <x v="5"/>
  </r>
  <r>
    <x v="6"/>
    <x v="2"/>
    <x v="4"/>
    <x v="4"/>
    <x v="6"/>
    <x v="6"/>
  </r>
  <r>
    <x v="7"/>
    <x v="3"/>
    <x v="0"/>
    <x v="0"/>
    <x v="1"/>
    <x v="7"/>
  </r>
  <r>
    <x v="8"/>
    <x v="1"/>
    <x v="0"/>
    <x v="0"/>
    <x v="7"/>
    <x v="8"/>
  </r>
  <r>
    <x v="9"/>
    <x v="3"/>
    <x v="1"/>
    <x v="1"/>
    <x v="8"/>
    <x v="9"/>
  </r>
  <r>
    <x v="10"/>
    <x v="0"/>
    <x v="4"/>
    <x v="4"/>
    <x v="9"/>
    <x v="10"/>
  </r>
  <r>
    <x v="11"/>
    <x v="1"/>
    <x v="0"/>
    <x v="0"/>
    <x v="10"/>
    <x v="11"/>
  </r>
  <r>
    <x v="12"/>
    <x v="2"/>
    <x v="3"/>
    <x v="3"/>
    <x v="11"/>
    <x v="12"/>
  </r>
  <r>
    <x v="13"/>
    <x v="1"/>
    <x v="5"/>
    <x v="5"/>
    <x v="12"/>
    <x v="13"/>
  </r>
  <r>
    <x v="14"/>
    <x v="1"/>
    <x v="4"/>
    <x v="4"/>
    <x v="9"/>
    <x v="14"/>
  </r>
  <r>
    <x v="15"/>
    <x v="0"/>
    <x v="1"/>
    <x v="1"/>
    <x v="13"/>
    <x v="15"/>
  </r>
  <r>
    <x v="16"/>
    <x v="3"/>
    <x v="1"/>
    <x v="1"/>
    <x v="14"/>
    <x v="16"/>
  </r>
  <r>
    <x v="17"/>
    <x v="0"/>
    <x v="0"/>
    <x v="0"/>
    <x v="15"/>
    <x v="17"/>
  </r>
  <r>
    <x v="18"/>
    <x v="0"/>
    <x v="5"/>
    <x v="5"/>
    <x v="5"/>
    <x v="18"/>
  </r>
  <r>
    <x v="10"/>
    <x v="2"/>
    <x v="0"/>
    <x v="0"/>
    <x v="3"/>
    <x v="19"/>
  </r>
  <r>
    <x v="19"/>
    <x v="2"/>
    <x v="2"/>
    <x v="2"/>
    <x v="16"/>
    <x v="20"/>
  </r>
  <r>
    <x v="20"/>
    <x v="3"/>
    <x v="0"/>
    <x v="0"/>
    <x v="17"/>
    <x v="21"/>
  </r>
  <r>
    <x v="21"/>
    <x v="2"/>
    <x v="1"/>
    <x v="1"/>
    <x v="14"/>
    <x v="22"/>
  </r>
  <r>
    <x v="22"/>
    <x v="1"/>
    <x v="2"/>
    <x v="2"/>
    <x v="8"/>
    <x v="23"/>
  </r>
  <r>
    <x v="23"/>
    <x v="0"/>
    <x v="1"/>
    <x v="1"/>
    <x v="12"/>
    <x v="24"/>
  </r>
  <r>
    <x v="24"/>
    <x v="0"/>
    <x v="2"/>
    <x v="2"/>
    <x v="17"/>
    <x v="25"/>
  </r>
  <r>
    <x v="25"/>
    <x v="2"/>
    <x v="1"/>
    <x v="1"/>
    <x v="18"/>
    <x v="26"/>
  </r>
  <r>
    <x v="26"/>
    <x v="0"/>
    <x v="5"/>
    <x v="5"/>
    <x v="19"/>
    <x v="27"/>
  </r>
  <r>
    <x v="27"/>
    <x v="2"/>
    <x v="1"/>
    <x v="1"/>
    <x v="0"/>
    <x v="28"/>
  </r>
  <r>
    <x v="28"/>
    <x v="2"/>
    <x v="2"/>
    <x v="2"/>
    <x v="17"/>
    <x v="29"/>
  </r>
  <r>
    <x v="29"/>
    <x v="1"/>
    <x v="4"/>
    <x v="4"/>
    <x v="20"/>
    <x v="30"/>
  </r>
  <r>
    <x v="30"/>
    <x v="2"/>
    <x v="1"/>
    <x v="1"/>
    <x v="21"/>
    <x v="31"/>
  </r>
  <r>
    <x v="31"/>
    <x v="3"/>
    <x v="1"/>
    <x v="1"/>
    <x v="22"/>
    <x v="32"/>
  </r>
  <r>
    <x v="32"/>
    <x v="2"/>
    <x v="5"/>
    <x v="5"/>
    <x v="19"/>
    <x v="33"/>
  </r>
  <r>
    <x v="10"/>
    <x v="0"/>
    <x v="1"/>
    <x v="1"/>
    <x v="17"/>
    <x v="34"/>
  </r>
  <r>
    <x v="33"/>
    <x v="0"/>
    <x v="4"/>
    <x v="4"/>
    <x v="23"/>
    <x v="35"/>
  </r>
  <r>
    <x v="34"/>
    <x v="3"/>
    <x v="1"/>
    <x v="1"/>
    <x v="24"/>
    <x v="36"/>
  </r>
  <r>
    <x v="35"/>
    <x v="1"/>
    <x v="2"/>
    <x v="2"/>
    <x v="25"/>
    <x v="37"/>
  </r>
  <r>
    <x v="36"/>
    <x v="3"/>
    <x v="1"/>
    <x v="1"/>
    <x v="18"/>
    <x v="38"/>
  </r>
  <r>
    <x v="6"/>
    <x v="0"/>
    <x v="3"/>
    <x v="3"/>
    <x v="26"/>
    <x v="39"/>
  </r>
  <r>
    <x v="37"/>
    <x v="3"/>
    <x v="1"/>
    <x v="1"/>
    <x v="27"/>
    <x v="40"/>
  </r>
  <r>
    <x v="2"/>
    <x v="1"/>
    <x v="3"/>
    <x v="3"/>
    <x v="28"/>
    <x v="41"/>
  </r>
  <r>
    <x v="38"/>
    <x v="1"/>
    <x v="0"/>
    <x v="0"/>
    <x v="18"/>
    <x v="42"/>
  </r>
  <r>
    <x v="39"/>
    <x v="0"/>
    <x v="1"/>
    <x v="1"/>
    <x v="17"/>
    <x v="43"/>
  </r>
  <r>
    <x v="40"/>
    <x v="3"/>
    <x v="1"/>
    <x v="1"/>
    <x v="29"/>
    <x v="44"/>
  </r>
  <r>
    <x v="41"/>
    <x v="1"/>
    <x v="5"/>
    <x v="5"/>
    <x v="11"/>
    <x v="45"/>
  </r>
  <r>
    <x v="42"/>
    <x v="3"/>
    <x v="2"/>
    <x v="2"/>
    <x v="29"/>
    <x v="46"/>
  </r>
  <r>
    <x v="43"/>
    <x v="0"/>
    <x v="5"/>
    <x v="5"/>
    <x v="30"/>
    <x v="47"/>
  </r>
  <r>
    <x v="44"/>
    <x v="3"/>
    <x v="2"/>
    <x v="2"/>
    <x v="11"/>
    <x v="48"/>
  </r>
  <r>
    <x v="45"/>
    <x v="1"/>
    <x v="0"/>
    <x v="0"/>
    <x v="4"/>
    <x v="49"/>
  </r>
  <r>
    <x v="46"/>
    <x v="2"/>
    <x v="4"/>
    <x v="4"/>
    <x v="30"/>
    <x v="50"/>
  </r>
  <r>
    <x v="9"/>
    <x v="0"/>
    <x v="1"/>
    <x v="1"/>
    <x v="2"/>
    <x v="51"/>
  </r>
  <r>
    <x v="47"/>
    <x v="3"/>
    <x v="1"/>
    <x v="1"/>
    <x v="9"/>
    <x v="52"/>
  </r>
  <r>
    <x v="40"/>
    <x v="1"/>
    <x v="5"/>
    <x v="5"/>
    <x v="31"/>
    <x v="53"/>
  </r>
  <r>
    <x v="48"/>
    <x v="1"/>
    <x v="1"/>
    <x v="1"/>
    <x v="27"/>
    <x v="54"/>
  </r>
  <r>
    <x v="49"/>
    <x v="0"/>
    <x v="0"/>
    <x v="0"/>
    <x v="0"/>
    <x v="55"/>
  </r>
  <r>
    <x v="50"/>
    <x v="3"/>
    <x v="4"/>
    <x v="4"/>
    <x v="18"/>
    <x v="56"/>
  </r>
  <r>
    <x v="51"/>
    <x v="1"/>
    <x v="2"/>
    <x v="2"/>
    <x v="32"/>
    <x v="57"/>
  </r>
  <r>
    <x v="29"/>
    <x v="2"/>
    <x v="4"/>
    <x v="4"/>
    <x v="15"/>
    <x v="58"/>
  </r>
  <r>
    <x v="52"/>
    <x v="2"/>
    <x v="3"/>
    <x v="3"/>
    <x v="20"/>
    <x v="59"/>
  </r>
  <r>
    <x v="53"/>
    <x v="3"/>
    <x v="1"/>
    <x v="1"/>
    <x v="33"/>
    <x v="60"/>
  </r>
  <r>
    <x v="54"/>
    <x v="2"/>
    <x v="4"/>
    <x v="4"/>
    <x v="1"/>
    <x v="61"/>
  </r>
  <r>
    <x v="55"/>
    <x v="3"/>
    <x v="4"/>
    <x v="4"/>
    <x v="22"/>
    <x v="62"/>
  </r>
  <r>
    <x v="56"/>
    <x v="1"/>
    <x v="1"/>
    <x v="1"/>
    <x v="29"/>
    <x v="63"/>
  </r>
  <r>
    <x v="57"/>
    <x v="1"/>
    <x v="3"/>
    <x v="3"/>
    <x v="20"/>
    <x v="64"/>
  </r>
  <r>
    <x v="58"/>
    <x v="1"/>
    <x v="1"/>
    <x v="1"/>
    <x v="0"/>
    <x v="65"/>
  </r>
  <r>
    <x v="59"/>
    <x v="3"/>
    <x v="5"/>
    <x v="5"/>
    <x v="17"/>
    <x v="66"/>
  </r>
  <r>
    <x v="60"/>
    <x v="1"/>
    <x v="2"/>
    <x v="2"/>
    <x v="11"/>
    <x v="67"/>
  </r>
  <r>
    <x v="4"/>
    <x v="1"/>
    <x v="0"/>
    <x v="0"/>
    <x v="15"/>
    <x v="68"/>
  </r>
  <r>
    <x v="61"/>
    <x v="0"/>
    <x v="5"/>
    <x v="5"/>
    <x v="16"/>
    <x v="69"/>
  </r>
  <r>
    <x v="34"/>
    <x v="1"/>
    <x v="4"/>
    <x v="4"/>
    <x v="33"/>
    <x v="70"/>
  </r>
  <r>
    <x v="62"/>
    <x v="1"/>
    <x v="0"/>
    <x v="0"/>
    <x v="28"/>
    <x v="71"/>
  </r>
  <r>
    <x v="33"/>
    <x v="0"/>
    <x v="5"/>
    <x v="5"/>
    <x v="5"/>
    <x v="72"/>
  </r>
  <r>
    <x v="53"/>
    <x v="3"/>
    <x v="0"/>
    <x v="0"/>
    <x v="30"/>
    <x v="73"/>
  </r>
  <r>
    <x v="63"/>
    <x v="0"/>
    <x v="2"/>
    <x v="2"/>
    <x v="19"/>
    <x v="74"/>
  </r>
  <r>
    <x v="31"/>
    <x v="2"/>
    <x v="1"/>
    <x v="1"/>
    <x v="12"/>
    <x v="75"/>
  </r>
  <r>
    <x v="64"/>
    <x v="0"/>
    <x v="3"/>
    <x v="3"/>
    <x v="22"/>
    <x v="76"/>
  </r>
  <r>
    <x v="65"/>
    <x v="1"/>
    <x v="3"/>
    <x v="3"/>
    <x v="11"/>
    <x v="77"/>
  </r>
  <r>
    <x v="41"/>
    <x v="1"/>
    <x v="5"/>
    <x v="5"/>
    <x v="2"/>
    <x v="78"/>
  </r>
  <r>
    <x v="38"/>
    <x v="3"/>
    <x v="3"/>
    <x v="3"/>
    <x v="18"/>
    <x v="79"/>
  </r>
  <r>
    <x v="21"/>
    <x v="0"/>
    <x v="5"/>
    <x v="5"/>
    <x v="22"/>
    <x v="80"/>
  </r>
  <r>
    <x v="66"/>
    <x v="0"/>
    <x v="1"/>
    <x v="1"/>
    <x v="14"/>
    <x v="81"/>
  </r>
  <r>
    <x v="67"/>
    <x v="2"/>
    <x v="0"/>
    <x v="0"/>
    <x v="23"/>
    <x v="82"/>
  </r>
  <r>
    <x v="68"/>
    <x v="1"/>
    <x v="0"/>
    <x v="0"/>
    <x v="7"/>
    <x v="83"/>
  </r>
  <r>
    <x v="69"/>
    <x v="2"/>
    <x v="3"/>
    <x v="3"/>
    <x v="7"/>
    <x v="84"/>
  </r>
  <r>
    <x v="70"/>
    <x v="0"/>
    <x v="1"/>
    <x v="1"/>
    <x v="21"/>
    <x v="85"/>
  </r>
  <r>
    <x v="71"/>
    <x v="1"/>
    <x v="3"/>
    <x v="3"/>
    <x v="15"/>
    <x v="86"/>
  </r>
  <r>
    <x v="12"/>
    <x v="3"/>
    <x v="3"/>
    <x v="3"/>
    <x v="28"/>
    <x v="87"/>
  </r>
  <r>
    <x v="72"/>
    <x v="0"/>
    <x v="4"/>
    <x v="4"/>
    <x v="16"/>
    <x v="88"/>
  </r>
  <r>
    <x v="6"/>
    <x v="2"/>
    <x v="4"/>
    <x v="4"/>
    <x v="15"/>
    <x v="89"/>
  </r>
  <r>
    <x v="21"/>
    <x v="1"/>
    <x v="0"/>
    <x v="0"/>
    <x v="5"/>
    <x v="90"/>
  </r>
  <r>
    <x v="1"/>
    <x v="2"/>
    <x v="0"/>
    <x v="0"/>
    <x v="34"/>
    <x v="91"/>
  </r>
  <r>
    <x v="4"/>
    <x v="0"/>
    <x v="3"/>
    <x v="3"/>
    <x v="19"/>
    <x v="92"/>
  </r>
  <r>
    <x v="47"/>
    <x v="3"/>
    <x v="1"/>
    <x v="1"/>
    <x v="28"/>
    <x v="93"/>
  </r>
  <r>
    <x v="4"/>
    <x v="0"/>
    <x v="2"/>
    <x v="2"/>
    <x v="24"/>
    <x v="94"/>
  </r>
  <r>
    <x v="58"/>
    <x v="3"/>
    <x v="5"/>
    <x v="5"/>
    <x v="35"/>
    <x v="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1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">
  <location ref="A3:H9" firstHeaderRow="1" firstDataRow="2" firstDataCol="1"/>
  <pivotFields count="6">
    <pivotField numFmtId="164" showAll="0">
      <items count="74">
        <item x="67"/>
        <item x="48"/>
        <item x="29"/>
        <item x="46"/>
        <item x="60"/>
        <item x="5"/>
        <item x="24"/>
        <item x="28"/>
        <item x="15"/>
        <item x="8"/>
        <item x="12"/>
        <item x="11"/>
        <item x="49"/>
        <item x="57"/>
        <item x="35"/>
        <item x="62"/>
        <item x="68"/>
        <item x="19"/>
        <item x="7"/>
        <item x="69"/>
        <item x="65"/>
        <item x="21"/>
        <item x="36"/>
        <item x="63"/>
        <item x="14"/>
        <item x="23"/>
        <item x="55"/>
        <item x="25"/>
        <item x="13"/>
        <item x="20"/>
        <item x="3"/>
        <item x="34"/>
        <item x="37"/>
        <item x="38"/>
        <item x="52"/>
        <item x="40"/>
        <item x="4"/>
        <item x="0"/>
        <item x="44"/>
        <item x="30"/>
        <item x="26"/>
        <item x="39"/>
        <item x="53"/>
        <item x="51"/>
        <item x="47"/>
        <item x="22"/>
        <item x="59"/>
        <item x="10"/>
        <item x="1"/>
        <item x="17"/>
        <item x="66"/>
        <item x="2"/>
        <item x="9"/>
        <item x="33"/>
        <item x="70"/>
        <item x="54"/>
        <item x="32"/>
        <item x="71"/>
        <item x="72"/>
        <item x="58"/>
        <item x="16"/>
        <item x="50"/>
        <item x="56"/>
        <item x="64"/>
        <item x="18"/>
        <item x="43"/>
        <item x="45"/>
        <item x="41"/>
        <item x="61"/>
        <item x="6"/>
        <item x="31"/>
        <item x="42"/>
        <item x="27"/>
        <item t="default"/>
      </items>
    </pivotField>
    <pivotField axis="axisRow" showAll="0">
      <items count="5">
        <item x="3"/>
        <item x="2"/>
        <item x="1"/>
        <item x="0"/>
        <item t="default"/>
      </items>
    </pivotField>
    <pivotField showAll="0">
      <items count="7">
        <item x="2"/>
        <item x="5"/>
        <item x="4"/>
        <item x="3"/>
        <item x="0"/>
        <item x="1"/>
        <item t="default"/>
      </items>
    </pivotField>
    <pivotField axis="axisCol" showAll="0">
      <items count="7">
        <item x="3"/>
        <item x="0"/>
        <item x="1"/>
        <item x="4"/>
        <item x="2"/>
        <item x="5"/>
        <item t="default"/>
      </items>
    </pivotField>
    <pivotField showAll="0">
      <items count="37">
        <item x="21"/>
        <item x="8"/>
        <item x="33"/>
        <item x="17"/>
        <item x="7"/>
        <item x="5"/>
        <item x="3"/>
        <item x="32"/>
        <item x="0"/>
        <item x="30"/>
        <item x="24"/>
        <item x="20"/>
        <item x="11"/>
        <item x="2"/>
        <item x="15"/>
        <item x="12"/>
        <item x="29"/>
        <item x="25"/>
        <item x="18"/>
        <item x="19"/>
        <item x="23"/>
        <item x="4"/>
        <item x="6"/>
        <item x="35"/>
        <item x="1"/>
        <item x="10"/>
        <item x="28"/>
        <item x="14"/>
        <item x="13"/>
        <item x="27"/>
        <item x="9"/>
        <item x="31"/>
        <item x="22"/>
        <item x="34"/>
        <item x="16"/>
        <item x="26"/>
        <item t="default"/>
      </items>
    </pivotField>
    <pivotField dataField="1" showAll="0">
      <items count="97">
        <item x="68"/>
        <item x="85"/>
        <item x="31"/>
        <item x="36"/>
        <item x="95"/>
        <item x="9"/>
        <item x="84"/>
        <item x="21"/>
        <item x="60"/>
        <item x="8"/>
        <item x="83"/>
        <item x="35"/>
        <item x="3"/>
        <item x="90"/>
        <item x="34"/>
        <item x="43"/>
        <item x="19"/>
        <item x="70"/>
        <item x="5"/>
        <item x="0"/>
        <item x="55"/>
        <item x="59"/>
        <item x="64"/>
        <item x="73"/>
        <item x="77"/>
        <item x="23"/>
        <item x="12"/>
        <item x="86"/>
        <item x="28"/>
        <item x="65"/>
        <item x="17"/>
        <item x="79"/>
        <item x="92"/>
        <item x="25"/>
        <item x="29"/>
        <item x="42"/>
        <item x="51"/>
        <item x="87"/>
        <item x="82"/>
        <item x="49"/>
        <item x="41"/>
        <item x="75"/>
        <item x="24"/>
        <item x="66"/>
        <item x="50"/>
        <item x="44"/>
        <item x="63"/>
        <item x="7"/>
        <item x="11"/>
        <item x="30"/>
        <item x="38"/>
        <item x="26"/>
        <item x="71"/>
        <item x="76"/>
        <item x="39"/>
        <item x="57"/>
        <item x="18"/>
        <item x="72"/>
        <item x="58"/>
        <item x="89"/>
        <item x="91"/>
        <item x="1"/>
        <item x="93"/>
        <item x="16"/>
        <item x="22"/>
        <item x="94"/>
        <item x="81"/>
        <item x="56"/>
        <item x="15"/>
        <item x="54"/>
        <item x="6"/>
        <item x="40"/>
        <item x="67"/>
        <item x="48"/>
        <item x="47"/>
        <item x="52"/>
        <item x="32"/>
        <item x="2"/>
        <item x="61"/>
        <item x="46"/>
        <item x="37"/>
        <item x="45"/>
        <item x="78"/>
        <item x="74"/>
        <item x="10"/>
        <item x="14"/>
        <item x="62"/>
        <item x="4"/>
        <item x="13"/>
        <item x="88"/>
        <item x="33"/>
        <item x="27"/>
        <item x="20"/>
        <item x="80"/>
        <item x="53"/>
        <item x="69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Sales" fld="5" baseField="0" baseItem="0"/>
  </dataFields>
  <chartFormats count="1">
    <chartFormat chart="0" format="10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9"/>
  <sheetViews>
    <sheetView tabSelected="1" topLeftCell="A10" workbookViewId="0">
      <selection activeCell="D1" sqref="D1"/>
    </sheetView>
  </sheetViews>
  <sheetFormatPr defaultRowHeight="15" x14ac:dyDescent="0.25"/>
  <cols>
    <col min="1" max="1" width="13.140625" customWidth="1"/>
    <col min="2" max="2" width="16.28515625" customWidth="1"/>
    <col min="3" max="6" width="8" customWidth="1"/>
    <col min="7" max="7" width="9" customWidth="1"/>
    <col min="8" max="8" width="11.28515625" customWidth="1"/>
    <col min="9" max="11" width="7" customWidth="1"/>
    <col min="12" max="12" width="9.42578125" customWidth="1"/>
    <col min="13" max="13" width="6.85546875" customWidth="1"/>
    <col min="14" max="15" width="6" customWidth="1"/>
    <col min="16" max="25" width="7" customWidth="1"/>
    <col min="26" max="26" width="6" customWidth="1"/>
    <col min="27" max="27" width="9.42578125" customWidth="1"/>
    <col min="28" max="30" width="6" customWidth="1"/>
    <col min="31" max="33" width="7" customWidth="1"/>
    <col min="34" max="34" width="5" customWidth="1"/>
    <col min="35" max="40" width="7" customWidth="1"/>
    <col min="41" max="41" width="8" customWidth="1"/>
    <col min="42" max="42" width="7" customWidth="1"/>
    <col min="43" max="43" width="8" customWidth="1"/>
    <col min="44" max="45" width="7" customWidth="1"/>
    <col min="46" max="46" width="8" customWidth="1"/>
    <col min="47" max="47" width="7.85546875" customWidth="1"/>
    <col min="48" max="51" width="7" customWidth="1"/>
    <col min="52" max="52" width="5" customWidth="1"/>
    <col min="53" max="54" width="7" customWidth="1"/>
    <col min="55" max="57" width="8" customWidth="1"/>
    <col min="58" max="58" width="10.42578125" customWidth="1"/>
    <col min="59" max="62" width="7" customWidth="1"/>
    <col min="63" max="63" width="8" customWidth="1"/>
    <col min="64" max="67" width="7" customWidth="1"/>
    <col min="68" max="70" width="8" customWidth="1"/>
    <col min="71" max="75" width="7" customWidth="1"/>
    <col min="76" max="77" width="8" customWidth="1"/>
    <col min="78" max="78" width="6" customWidth="1"/>
    <col min="79" max="81" width="8" customWidth="1"/>
    <col min="82" max="82" width="9" customWidth="1"/>
    <col min="83" max="83" width="11.28515625" customWidth="1"/>
    <col min="84" max="86" width="7" customWidth="1"/>
    <col min="87" max="97" width="8" customWidth="1"/>
    <col min="98" max="98" width="11.28515625" customWidth="1"/>
    <col min="99" max="100" width="6" customWidth="1"/>
    <col min="101" max="101" width="5" customWidth="1"/>
    <col min="102" max="104" width="6" customWidth="1"/>
    <col min="105" max="105" width="5" customWidth="1"/>
    <col min="106" max="113" width="6" customWidth="1"/>
    <col min="114" max="157" width="7" customWidth="1"/>
    <col min="158" max="158" width="6" customWidth="1"/>
    <col min="159" max="182" width="7" customWidth="1"/>
    <col min="183" max="193" width="8" customWidth="1"/>
    <col min="194" max="194" width="17.42578125" bestFit="1" customWidth="1"/>
    <col min="195" max="195" width="22.42578125" bestFit="1" customWidth="1"/>
  </cols>
  <sheetData>
    <row r="3" spans="1:8" x14ac:dyDescent="0.25">
      <c r="A3" s="9" t="s">
        <v>22</v>
      </c>
      <c r="B3" s="9" t="s">
        <v>23</v>
      </c>
    </row>
    <row r="4" spans="1:8" x14ac:dyDescent="0.25">
      <c r="A4" s="9" t="s">
        <v>20</v>
      </c>
      <c r="B4">
        <v>9.75</v>
      </c>
      <c r="C4">
        <v>12.5</v>
      </c>
      <c r="D4">
        <v>18</v>
      </c>
      <c r="E4">
        <v>27.25</v>
      </c>
      <c r="F4">
        <v>45</v>
      </c>
      <c r="G4">
        <v>60</v>
      </c>
      <c r="H4" t="s">
        <v>21</v>
      </c>
    </row>
    <row r="5" spans="1:8" x14ac:dyDescent="0.25">
      <c r="A5" s="10" t="s">
        <v>13</v>
      </c>
      <c r="B5" s="11">
        <v>469.76</v>
      </c>
      <c r="C5" s="11">
        <v>534.02</v>
      </c>
      <c r="D5" s="11">
        <v>3891.1099999999997</v>
      </c>
      <c r="E5" s="11">
        <v>1579.55</v>
      </c>
      <c r="F5" s="11">
        <v>1422.81</v>
      </c>
      <c r="G5" s="11">
        <v>356.53000000000003</v>
      </c>
      <c r="H5" s="11">
        <v>8253.7800000000007</v>
      </c>
    </row>
    <row r="6" spans="1:8" x14ac:dyDescent="0.25">
      <c r="A6" s="10" t="s">
        <v>10</v>
      </c>
      <c r="B6" s="11">
        <v>325.19</v>
      </c>
      <c r="C6" s="11">
        <v>856.57999999999993</v>
      </c>
      <c r="D6" s="11">
        <v>1528.97</v>
      </c>
      <c r="E6" s="11">
        <v>2527.84</v>
      </c>
      <c r="F6" s="11">
        <v>3073.48</v>
      </c>
      <c r="G6" s="11">
        <v>1219.9100000000001</v>
      </c>
      <c r="H6" s="11">
        <v>9531.9699999999993</v>
      </c>
    </row>
    <row r="7" spans="1:8" x14ac:dyDescent="0.25">
      <c r="A7" s="10" t="s">
        <v>6</v>
      </c>
      <c r="B7" s="11">
        <v>716.68000000000006</v>
      </c>
      <c r="C7" s="11">
        <v>1507.2400000000002</v>
      </c>
      <c r="D7" s="11">
        <v>1605.88</v>
      </c>
      <c r="E7" s="11">
        <v>1461.64</v>
      </c>
      <c r="F7" s="11">
        <v>2712.0400000000004</v>
      </c>
      <c r="G7" s="11">
        <v>4963.0200000000004</v>
      </c>
      <c r="H7" s="11">
        <v>12966.500000000002</v>
      </c>
    </row>
    <row r="8" spans="1:8" x14ac:dyDescent="0.25">
      <c r="A8" s="10" t="s">
        <v>8</v>
      </c>
      <c r="B8" s="11">
        <v>1042.78</v>
      </c>
      <c r="C8" s="11">
        <v>445.49</v>
      </c>
      <c r="D8" s="11">
        <v>1907.72</v>
      </c>
      <c r="E8" s="11">
        <v>2153.5</v>
      </c>
      <c r="F8" s="11">
        <v>1708.6599999999999</v>
      </c>
      <c r="G8" s="11">
        <v>7320.16</v>
      </c>
      <c r="H8" s="11">
        <v>14578.31</v>
      </c>
    </row>
    <row r="9" spans="1:8" x14ac:dyDescent="0.25">
      <c r="A9" s="10" t="s">
        <v>21</v>
      </c>
      <c r="B9" s="11">
        <v>2554.41</v>
      </c>
      <c r="C9" s="11">
        <v>3343.33</v>
      </c>
      <c r="D9" s="11">
        <v>8933.68</v>
      </c>
      <c r="E9" s="11">
        <v>7722.5300000000007</v>
      </c>
      <c r="F9" s="11">
        <v>8916.99</v>
      </c>
      <c r="G9" s="11">
        <v>13859.62</v>
      </c>
      <c r="H9" s="11">
        <v>45330.559999999998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"/>
  <sheetViews>
    <sheetView workbookViewId="0">
      <selection activeCell="A2" sqref="A1:F97"/>
    </sheetView>
  </sheetViews>
  <sheetFormatPr defaultRowHeight="15" x14ac:dyDescent="0.25"/>
  <cols>
    <col min="1" max="1" width="14" style="7" customWidth="1"/>
    <col min="2" max="2" width="10" customWidth="1"/>
    <col min="3" max="4" width="12" customWidth="1"/>
    <col min="5" max="5" width="8" customWidth="1"/>
    <col min="6" max="7" width="10" customWidth="1"/>
    <col min="9" max="9" width="18" customWidth="1"/>
    <col min="10" max="10" width="22.5703125" customWidth="1"/>
    <col min="11" max="11" width="12" customWidth="1"/>
  </cols>
  <sheetData>
    <row r="1" spans="1:11" x14ac:dyDescent="0.25">
      <c r="A1" s="5" t="s">
        <v>15</v>
      </c>
      <c r="B1" s="3" t="s">
        <v>0</v>
      </c>
      <c r="C1" s="1" t="s">
        <v>1</v>
      </c>
      <c r="D1" s="3" t="s">
        <v>16</v>
      </c>
      <c r="E1" s="1" t="s">
        <v>2</v>
      </c>
      <c r="F1" s="1" t="s">
        <v>3</v>
      </c>
      <c r="G1" s="1"/>
      <c r="H1" s="3" t="s">
        <v>0</v>
      </c>
      <c r="I1" s="3" t="s">
        <v>19</v>
      </c>
      <c r="J1" s="3" t="s">
        <v>17</v>
      </c>
      <c r="K1" s="3" t="s">
        <v>18</v>
      </c>
    </row>
    <row r="2" spans="1:11" x14ac:dyDescent="0.25">
      <c r="A2" s="6">
        <v>45405</v>
      </c>
      <c r="B2" s="4" t="s">
        <v>8</v>
      </c>
      <c r="C2" s="2" t="s">
        <v>4</v>
      </c>
      <c r="D2" s="2">
        <f>VLOOKUP(C2,'Product Lookup'!A:B,2,FALSE)</f>
        <v>12.5</v>
      </c>
      <c r="E2" s="2">
        <v>10</v>
      </c>
      <c r="F2" s="8">
        <v>125.57</v>
      </c>
      <c r="G2" s="8"/>
      <c r="H2" s="4" t="s">
        <v>8</v>
      </c>
      <c r="I2">
        <f>SUMIFS(F:F,B:B,B2)</f>
        <v>14578.309999999998</v>
      </c>
      <c r="J2">
        <f>SUM(I2:I5)</f>
        <v>45330.559999999998</v>
      </c>
      <c r="K2">
        <f>SUM(F:F)</f>
        <v>45330.560000000005</v>
      </c>
    </row>
    <row r="3" spans="1:11" x14ac:dyDescent="0.25">
      <c r="A3" s="6">
        <v>45430</v>
      </c>
      <c r="B3" s="4" t="s">
        <v>6</v>
      </c>
      <c r="C3" s="2" t="s">
        <v>5</v>
      </c>
      <c r="D3" s="2">
        <f>VLOOKUP(C3,'Product Lookup'!A:B,2,FALSE)</f>
        <v>18</v>
      </c>
      <c r="E3" s="2">
        <v>27</v>
      </c>
      <c r="F3" s="2">
        <v>480.63</v>
      </c>
      <c r="G3" s="2"/>
      <c r="H3" s="4" t="s">
        <v>13</v>
      </c>
      <c r="I3">
        <f>SUMIFS(F:F,B:B,B9)</f>
        <v>8253.7800000000007</v>
      </c>
    </row>
    <row r="4" spans="1:11" x14ac:dyDescent="0.25">
      <c r="A4" s="6">
        <v>45435</v>
      </c>
      <c r="B4" s="4" t="s">
        <v>6</v>
      </c>
      <c r="C4" s="2" t="s">
        <v>7</v>
      </c>
      <c r="D4" s="2">
        <f>VLOOKUP(C4,'Product Lookup'!A:B,2,FALSE)</f>
        <v>45</v>
      </c>
      <c r="E4" s="2">
        <v>15</v>
      </c>
      <c r="F4" s="2">
        <v>708.57</v>
      </c>
      <c r="G4" s="2"/>
      <c r="H4" s="4" t="s">
        <v>10</v>
      </c>
      <c r="I4">
        <f>SUMIFS(F:F,B:B,B6)</f>
        <v>9531.9699999999993</v>
      </c>
    </row>
    <row r="5" spans="1:11" x14ac:dyDescent="0.25">
      <c r="A5" s="6">
        <v>45380</v>
      </c>
      <c r="B5" s="4" t="s">
        <v>8</v>
      </c>
      <c r="C5" s="2" t="s">
        <v>9</v>
      </c>
      <c r="D5" s="2">
        <f>VLOOKUP(C5,'Product Lookup'!A:B,2,FALSE)</f>
        <v>9.75</v>
      </c>
      <c r="E5" s="2">
        <v>8</v>
      </c>
      <c r="F5" s="2">
        <v>81.69</v>
      </c>
      <c r="G5" s="2"/>
      <c r="H5" s="4" t="s">
        <v>6</v>
      </c>
      <c r="I5">
        <f>SUMIFS(F:F,B:B,B3)</f>
        <v>12966.500000000002</v>
      </c>
    </row>
    <row r="6" spans="1:11" x14ac:dyDescent="0.25">
      <c r="A6" s="6">
        <v>45394</v>
      </c>
      <c r="B6" s="4" t="s">
        <v>10</v>
      </c>
      <c r="C6" s="2" t="s">
        <v>7</v>
      </c>
      <c r="D6" s="2">
        <f>VLOOKUP(C6,'Product Lookup'!A:B,2,FALSE)</f>
        <v>45</v>
      </c>
      <c r="E6" s="2">
        <v>23</v>
      </c>
      <c r="F6" s="2">
        <v>1049.6400000000001</v>
      </c>
      <c r="G6" s="2"/>
    </row>
    <row r="7" spans="1:11" x14ac:dyDescent="0.25">
      <c r="A7" s="6">
        <v>45303</v>
      </c>
      <c r="B7" s="4" t="s">
        <v>10</v>
      </c>
      <c r="C7" s="2" t="s">
        <v>5</v>
      </c>
      <c r="D7" s="2">
        <f>VLOOKUP(C7,'Product Lookup'!A:B,2,FALSE)</f>
        <v>18</v>
      </c>
      <c r="E7" s="2">
        <v>7</v>
      </c>
      <c r="F7" s="2">
        <v>124.49</v>
      </c>
      <c r="G7" s="2"/>
    </row>
    <row r="8" spans="1:11" x14ac:dyDescent="0.25">
      <c r="A8" s="6">
        <v>45495</v>
      </c>
      <c r="B8" s="4" t="s">
        <v>10</v>
      </c>
      <c r="C8" s="2" t="s">
        <v>11</v>
      </c>
      <c r="D8" s="2">
        <f>VLOOKUP(C8,'Product Lookup'!A:B,2,FALSE)</f>
        <v>27.25</v>
      </c>
      <c r="E8" s="2">
        <v>24</v>
      </c>
      <c r="F8" s="2">
        <v>625.80999999999995</v>
      </c>
      <c r="G8" s="2"/>
    </row>
    <row r="9" spans="1:11" x14ac:dyDescent="0.25">
      <c r="A9" s="6">
        <v>45351</v>
      </c>
      <c r="B9" s="4" t="s">
        <v>13</v>
      </c>
      <c r="C9" s="2" t="s">
        <v>4</v>
      </c>
      <c r="D9" s="2">
        <f>VLOOKUP(C9,'Product Lookup'!A:B,2,FALSE)</f>
        <v>12.5</v>
      </c>
      <c r="E9" s="2">
        <v>27</v>
      </c>
      <c r="F9" s="2">
        <v>334.38</v>
      </c>
      <c r="G9" s="2"/>
    </row>
    <row r="10" spans="1:11" x14ac:dyDescent="0.25">
      <c r="A10" s="6">
        <v>45318</v>
      </c>
      <c r="B10" s="4" t="s">
        <v>6</v>
      </c>
      <c r="C10" s="2" t="s">
        <v>4</v>
      </c>
      <c r="D10" s="2">
        <f>VLOOKUP(C10,'Product Lookup'!A:B,2,FALSE)</f>
        <v>12.5</v>
      </c>
      <c r="E10" s="2">
        <v>6</v>
      </c>
      <c r="F10" s="2">
        <v>72.89</v>
      </c>
      <c r="G10" s="2"/>
    </row>
    <row r="11" spans="1:11" x14ac:dyDescent="0.25">
      <c r="A11" s="6">
        <v>45455</v>
      </c>
      <c r="B11" s="4" t="s">
        <v>13</v>
      </c>
      <c r="C11" s="2" t="s">
        <v>5</v>
      </c>
      <c r="D11" s="2">
        <f>VLOOKUP(C11,'Product Lookup'!A:B,2,FALSE)</f>
        <v>18</v>
      </c>
      <c r="E11" s="2">
        <v>3</v>
      </c>
      <c r="F11" s="2">
        <v>55.65</v>
      </c>
      <c r="G11" s="2"/>
    </row>
    <row r="12" spans="1:11" x14ac:dyDescent="0.25">
      <c r="A12" s="6">
        <v>45427</v>
      </c>
      <c r="B12" s="4" t="s">
        <v>8</v>
      </c>
      <c r="C12" s="2" t="s">
        <v>11</v>
      </c>
      <c r="D12" s="2">
        <f>VLOOKUP(C12,'Product Lookup'!A:B,2,FALSE)</f>
        <v>27.25</v>
      </c>
      <c r="E12" s="2">
        <v>35</v>
      </c>
      <c r="F12" s="2">
        <v>977.68</v>
      </c>
      <c r="G12" s="2"/>
    </row>
    <row r="13" spans="1:11" x14ac:dyDescent="0.25">
      <c r="A13" s="6">
        <v>45324</v>
      </c>
      <c r="B13" s="4" t="s">
        <v>6</v>
      </c>
      <c r="C13" s="2" t="s">
        <v>4</v>
      </c>
      <c r="D13" s="2">
        <f>VLOOKUP(C13,'Product Lookup'!A:B,2,FALSE)</f>
        <v>12.5</v>
      </c>
      <c r="E13" s="2">
        <v>28</v>
      </c>
      <c r="F13" s="2">
        <v>337.25</v>
      </c>
      <c r="G13" s="2"/>
    </row>
    <row r="14" spans="1:11" x14ac:dyDescent="0.25">
      <c r="A14" s="6">
        <v>45319</v>
      </c>
      <c r="B14" s="4" t="s">
        <v>10</v>
      </c>
      <c r="C14" s="2" t="s">
        <v>9</v>
      </c>
      <c r="D14" s="2">
        <f>VLOOKUP(C14,'Product Lookup'!A:B,2,FALSE)</f>
        <v>9.75</v>
      </c>
      <c r="E14" s="2">
        <v>14</v>
      </c>
      <c r="F14" s="2">
        <v>139.47</v>
      </c>
      <c r="G14" s="2"/>
    </row>
    <row r="15" spans="1:11" x14ac:dyDescent="0.25">
      <c r="A15" s="6">
        <v>45375</v>
      </c>
      <c r="B15" s="4" t="s">
        <v>6</v>
      </c>
      <c r="C15" s="2" t="s">
        <v>12</v>
      </c>
      <c r="D15" s="2">
        <f>VLOOKUP(C15,'Product Lookup'!A:B,2,FALSE)</f>
        <v>60</v>
      </c>
      <c r="E15" s="2">
        <v>17</v>
      </c>
      <c r="F15" s="2">
        <v>1054.1600000000001</v>
      </c>
      <c r="G15" s="2"/>
    </row>
    <row r="16" spans="1:11" x14ac:dyDescent="0.25">
      <c r="A16" s="6">
        <v>45361</v>
      </c>
      <c r="B16" s="4" t="s">
        <v>6</v>
      </c>
      <c r="C16" s="2" t="s">
        <v>11</v>
      </c>
      <c r="D16" s="2">
        <f>VLOOKUP(C16,'Product Lookup'!A:B,2,FALSE)</f>
        <v>27.25</v>
      </c>
      <c r="E16" s="2">
        <v>35</v>
      </c>
      <c r="F16" s="2">
        <v>1011.52</v>
      </c>
      <c r="G16" s="2"/>
    </row>
    <row r="17" spans="1:7" x14ac:dyDescent="0.25">
      <c r="A17" s="6">
        <v>45313</v>
      </c>
      <c r="B17" s="4" t="s">
        <v>8</v>
      </c>
      <c r="C17" s="2" t="s">
        <v>5</v>
      </c>
      <c r="D17" s="2">
        <f>VLOOKUP(C17,'Product Lookup'!A:B,2,FALSE)</f>
        <v>18</v>
      </c>
      <c r="E17" s="2">
        <v>31</v>
      </c>
      <c r="F17" s="2">
        <v>582.92999999999995</v>
      </c>
      <c r="G17" s="2"/>
    </row>
    <row r="18" spans="1:7" x14ac:dyDescent="0.25">
      <c r="A18" s="6">
        <v>45471</v>
      </c>
      <c r="B18" s="4" t="s">
        <v>13</v>
      </c>
      <c r="C18" s="2" t="s">
        <v>5</v>
      </c>
      <c r="D18" s="2">
        <f>VLOOKUP(C18,'Product Lookup'!A:B,2,FALSE)</f>
        <v>18</v>
      </c>
      <c r="E18" s="2">
        <v>30</v>
      </c>
      <c r="F18" s="2">
        <v>533.49</v>
      </c>
      <c r="G18" s="2"/>
    </row>
    <row r="19" spans="1:7" x14ac:dyDescent="0.25">
      <c r="A19" s="6">
        <v>45432</v>
      </c>
      <c r="B19" s="4" t="s">
        <v>8</v>
      </c>
      <c r="C19" s="2" t="s">
        <v>4</v>
      </c>
      <c r="D19" s="2">
        <f>VLOOKUP(C19,'Product Lookup'!A:B,2,FALSE)</f>
        <v>12.5</v>
      </c>
      <c r="E19" s="2">
        <v>16</v>
      </c>
      <c r="F19" s="2">
        <v>193.33</v>
      </c>
      <c r="G19" s="2"/>
    </row>
    <row r="20" spans="1:7" x14ac:dyDescent="0.25">
      <c r="A20" s="6">
        <v>45487</v>
      </c>
      <c r="B20" s="4" t="s">
        <v>8</v>
      </c>
      <c r="C20" s="2" t="s">
        <v>12</v>
      </c>
      <c r="D20" s="2">
        <f>VLOOKUP(C20,'Product Lookup'!A:B,2,FALSE)</f>
        <v>60</v>
      </c>
      <c r="E20" s="2">
        <v>7</v>
      </c>
      <c r="F20" s="2">
        <v>414.08</v>
      </c>
      <c r="G20" s="2"/>
    </row>
    <row r="21" spans="1:7" x14ac:dyDescent="0.25">
      <c r="A21" s="6">
        <v>45427</v>
      </c>
      <c r="B21" s="4" t="s">
        <v>10</v>
      </c>
      <c r="C21" s="2" t="s">
        <v>4</v>
      </c>
      <c r="D21" s="2">
        <f>VLOOKUP(C21,'Product Lookup'!A:B,2,FALSE)</f>
        <v>12.5</v>
      </c>
      <c r="E21" s="2">
        <v>8</v>
      </c>
      <c r="F21" s="2">
        <v>104.29</v>
      </c>
      <c r="G21" s="2"/>
    </row>
    <row r="22" spans="1:7" x14ac:dyDescent="0.25">
      <c r="A22" s="6">
        <v>45346</v>
      </c>
      <c r="B22" s="4" t="s">
        <v>10</v>
      </c>
      <c r="C22" s="2" t="s">
        <v>7</v>
      </c>
      <c r="D22" s="2">
        <f>VLOOKUP(C22,'Product Lookup'!A:B,2,FALSE)</f>
        <v>45</v>
      </c>
      <c r="E22" s="2">
        <v>39</v>
      </c>
      <c r="F22" s="2">
        <v>1790.31</v>
      </c>
      <c r="G22" s="2"/>
    </row>
    <row r="23" spans="1:7" x14ac:dyDescent="0.25">
      <c r="A23" s="6">
        <v>45378</v>
      </c>
      <c r="B23" s="4" t="s">
        <v>13</v>
      </c>
      <c r="C23" s="2" t="s">
        <v>4</v>
      </c>
      <c r="D23" s="2">
        <f>VLOOKUP(C23,'Product Lookup'!A:B,2,FALSE)</f>
        <v>12.5</v>
      </c>
      <c r="E23" s="2">
        <v>5</v>
      </c>
      <c r="F23" s="2">
        <v>63.8</v>
      </c>
      <c r="G23" s="2"/>
    </row>
    <row r="24" spans="1:7" x14ac:dyDescent="0.25">
      <c r="A24" s="6">
        <v>45354</v>
      </c>
      <c r="B24" s="4" t="s">
        <v>10</v>
      </c>
      <c r="C24" s="2" t="s">
        <v>5</v>
      </c>
      <c r="D24" s="2">
        <f>VLOOKUP(C24,'Product Lookup'!A:B,2,FALSE)</f>
        <v>18</v>
      </c>
      <c r="E24" s="2">
        <v>30</v>
      </c>
      <c r="F24" s="2">
        <v>543.77</v>
      </c>
      <c r="G24" s="2"/>
    </row>
    <row r="25" spans="1:7" x14ac:dyDescent="0.25">
      <c r="A25" s="6">
        <v>45422</v>
      </c>
      <c r="B25" s="4" t="s">
        <v>6</v>
      </c>
      <c r="C25" s="2" t="s">
        <v>7</v>
      </c>
      <c r="D25" s="2">
        <f>VLOOKUP(C25,'Product Lookup'!A:B,2,FALSE)</f>
        <v>45</v>
      </c>
      <c r="E25" s="2">
        <v>3</v>
      </c>
      <c r="F25" s="2">
        <v>137.82</v>
      </c>
      <c r="G25" s="2"/>
    </row>
    <row r="26" spans="1:7" x14ac:dyDescent="0.25">
      <c r="A26" s="6">
        <v>45362</v>
      </c>
      <c r="B26" s="4" t="s">
        <v>8</v>
      </c>
      <c r="C26" s="2" t="s">
        <v>5</v>
      </c>
      <c r="D26" s="2">
        <f>VLOOKUP(C26,'Product Lookup'!A:B,2,FALSE)</f>
        <v>18</v>
      </c>
      <c r="E26" s="2">
        <v>17</v>
      </c>
      <c r="F26" s="2">
        <v>295.64</v>
      </c>
      <c r="G26" s="2"/>
    </row>
    <row r="27" spans="1:7" x14ac:dyDescent="0.25">
      <c r="A27" s="6">
        <v>45307</v>
      </c>
      <c r="B27" s="4" t="s">
        <v>8</v>
      </c>
      <c r="C27" s="2" t="s">
        <v>7</v>
      </c>
      <c r="D27" s="2">
        <f>VLOOKUP(C27,'Product Lookup'!A:B,2,FALSE)</f>
        <v>45</v>
      </c>
      <c r="E27" s="2">
        <v>5</v>
      </c>
      <c r="F27" s="2">
        <v>225.32</v>
      </c>
      <c r="G27" s="2"/>
    </row>
    <row r="28" spans="1:7" x14ac:dyDescent="0.25">
      <c r="A28" s="6">
        <v>45372</v>
      </c>
      <c r="B28" s="4" t="s">
        <v>10</v>
      </c>
      <c r="C28" s="2" t="s">
        <v>5</v>
      </c>
      <c r="D28" s="2">
        <f>VLOOKUP(C28,'Product Lookup'!A:B,2,FALSE)</f>
        <v>18</v>
      </c>
      <c r="E28" s="2">
        <v>20</v>
      </c>
      <c r="F28" s="2">
        <v>358.46</v>
      </c>
      <c r="G28" s="2"/>
    </row>
    <row r="29" spans="1:7" x14ac:dyDescent="0.25">
      <c r="A29" s="6">
        <v>45410</v>
      </c>
      <c r="B29" s="4" t="s">
        <v>8</v>
      </c>
      <c r="C29" s="2" t="s">
        <v>12</v>
      </c>
      <c r="D29" s="2">
        <f>VLOOKUP(C29,'Product Lookup'!A:B,2,FALSE)</f>
        <v>60</v>
      </c>
      <c r="E29" s="2">
        <v>21</v>
      </c>
      <c r="F29" s="2">
        <v>1223.67</v>
      </c>
      <c r="G29" s="2"/>
    </row>
    <row r="30" spans="1:7" x14ac:dyDescent="0.25">
      <c r="A30" s="6">
        <v>45501</v>
      </c>
      <c r="B30" s="4" t="s">
        <v>10</v>
      </c>
      <c r="C30" s="2" t="s">
        <v>5</v>
      </c>
      <c r="D30" s="2">
        <f>VLOOKUP(C30,'Product Lookup'!A:B,2,FALSE)</f>
        <v>18</v>
      </c>
      <c r="E30" s="2">
        <v>10</v>
      </c>
      <c r="F30" s="2">
        <v>171.44</v>
      </c>
      <c r="G30" s="2"/>
    </row>
    <row r="31" spans="1:7" x14ac:dyDescent="0.25">
      <c r="A31" s="6">
        <v>45310</v>
      </c>
      <c r="B31" s="4" t="s">
        <v>10</v>
      </c>
      <c r="C31" s="2" t="s">
        <v>7</v>
      </c>
      <c r="D31" s="2">
        <f>VLOOKUP(C31,'Product Lookup'!A:B,2,FALSE)</f>
        <v>45</v>
      </c>
      <c r="E31" s="2">
        <v>5</v>
      </c>
      <c r="F31" s="2">
        <v>233.53</v>
      </c>
      <c r="G31" s="2"/>
    </row>
    <row r="32" spans="1:7" x14ac:dyDescent="0.25">
      <c r="A32" s="6">
        <v>45298</v>
      </c>
      <c r="B32" s="4" t="s">
        <v>6</v>
      </c>
      <c r="C32" s="2" t="s">
        <v>11</v>
      </c>
      <c r="D32" s="2">
        <f>VLOOKUP(C32,'Product Lookup'!A:B,2,FALSE)</f>
        <v>27.25</v>
      </c>
      <c r="E32" s="2">
        <v>13</v>
      </c>
      <c r="F32" s="2">
        <v>339.23</v>
      </c>
      <c r="G32" s="2"/>
    </row>
    <row r="33" spans="1:7" x14ac:dyDescent="0.25">
      <c r="A33" s="6">
        <v>45409</v>
      </c>
      <c r="B33" s="4" t="s">
        <v>10</v>
      </c>
      <c r="C33" s="2" t="s">
        <v>5</v>
      </c>
      <c r="D33" s="2">
        <f>VLOOKUP(C33,'Product Lookup'!A:B,2,FALSE)</f>
        <v>18</v>
      </c>
      <c r="E33" s="2">
        <v>2</v>
      </c>
      <c r="F33" s="2">
        <v>36.58</v>
      </c>
      <c r="G33" s="2"/>
    </row>
    <row r="34" spans="1:7" x14ac:dyDescent="0.25">
      <c r="A34" s="6">
        <v>45498</v>
      </c>
      <c r="B34" s="4" t="s">
        <v>13</v>
      </c>
      <c r="C34" s="2" t="s">
        <v>5</v>
      </c>
      <c r="D34" s="2">
        <f>VLOOKUP(C34,'Product Lookup'!A:B,2,FALSE)</f>
        <v>18</v>
      </c>
      <c r="E34" s="2">
        <v>37</v>
      </c>
      <c r="F34" s="2">
        <v>695.77</v>
      </c>
      <c r="G34" s="2"/>
    </row>
    <row r="35" spans="1:7" x14ac:dyDescent="0.25">
      <c r="A35" s="6">
        <v>45463</v>
      </c>
      <c r="B35" s="4" t="s">
        <v>10</v>
      </c>
      <c r="C35" s="2" t="s">
        <v>12</v>
      </c>
      <c r="D35" s="2">
        <f>VLOOKUP(C35,'Product Lookup'!A:B,2,FALSE)</f>
        <v>60</v>
      </c>
      <c r="E35" s="2">
        <v>21</v>
      </c>
      <c r="F35" s="2">
        <v>1219.9100000000001</v>
      </c>
      <c r="G35" s="2"/>
    </row>
    <row r="36" spans="1:7" x14ac:dyDescent="0.25">
      <c r="A36" s="6">
        <v>45427</v>
      </c>
      <c r="B36" s="4" t="s">
        <v>8</v>
      </c>
      <c r="C36" s="2" t="s">
        <v>5</v>
      </c>
      <c r="D36" s="2">
        <f>VLOOKUP(C36,'Product Lookup'!A:B,2,FALSE)</f>
        <v>18</v>
      </c>
      <c r="E36" s="2">
        <v>5</v>
      </c>
      <c r="F36" s="2">
        <v>90.86</v>
      </c>
      <c r="G36" s="2"/>
    </row>
    <row r="37" spans="1:7" x14ac:dyDescent="0.25">
      <c r="A37" s="6">
        <v>45457</v>
      </c>
      <c r="B37" s="4" t="s">
        <v>8</v>
      </c>
      <c r="C37" s="2" t="s">
        <v>11</v>
      </c>
      <c r="D37" s="2">
        <f>VLOOKUP(C37,'Product Lookup'!A:B,2,FALSE)</f>
        <v>27.25</v>
      </c>
      <c r="E37" s="2">
        <v>22</v>
      </c>
      <c r="F37" s="2">
        <v>80.599999999999994</v>
      </c>
      <c r="G37" s="2"/>
    </row>
    <row r="38" spans="1:7" x14ac:dyDescent="0.25">
      <c r="A38" s="6">
        <v>45382</v>
      </c>
      <c r="B38" s="4" t="s">
        <v>13</v>
      </c>
      <c r="C38" s="2" t="s">
        <v>5</v>
      </c>
      <c r="D38" s="2">
        <f>VLOOKUP(C38,'Product Lookup'!A:B,2,FALSE)</f>
        <v>18</v>
      </c>
      <c r="E38" s="2">
        <v>12</v>
      </c>
      <c r="F38" s="2">
        <v>40.1</v>
      </c>
      <c r="G38" s="2"/>
    </row>
    <row r="39" spans="1:7" x14ac:dyDescent="0.25">
      <c r="A39" s="6">
        <v>45336</v>
      </c>
      <c r="B39" s="4" t="s">
        <v>6</v>
      </c>
      <c r="C39" s="2" t="s">
        <v>7</v>
      </c>
      <c r="D39" s="2">
        <f>VLOOKUP(C39,'Product Lookup'!A:B,2,FALSE)</f>
        <v>45</v>
      </c>
      <c r="E39" s="2">
        <v>19</v>
      </c>
      <c r="F39" s="2">
        <v>830.22</v>
      </c>
      <c r="G39" s="2"/>
    </row>
    <row r="40" spans="1:7" x14ac:dyDescent="0.25">
      <c r="A40" s="6">
        <v>45357</v>
      </c>
      <c r="B40" s="4" t="s">
        <v>13</v>
      </c>
      <c r="C40" s="2" t="s">
        <v>5</v>
      </c>
      <c r="D40" s="2">
        <f>VLOOKUP(C40,'Product Lookup'!A:B,2,FALSE)</f>
        <v>18</v>
      </c>
      <c r="E40" s="2">
        <v>20</v>
      </c>
      <c r="F40" s="2">
        <v>345.89</v>
      </c>
      <c r="G40" s="2"/>
    </row>
    <row r="41" spans="1:7" x14ac:dyDescent="0.25">
      <c r="A41" s="6">
        <v>45495</v>
      </c>
      <c r="B41" s="4" t="s">
        <v>8</v>
      </c>
      <c r="C41" s="2" t="s">
        <v>9</v>
      </c>
      <c r="D41" s="2">
        <f>VLOOKUP(C41,'Product Lookup'!A:B,2,FALSE)</f>
        <v>9.75</v>
      </c>
      <c r="E41" s="2">
        <v>40</v>
      </c>
      <c r="F41" s="2">
        <v>383.57</v>
      </c>
      <c r="G41" s="2"/>
    </row>
    <row r="42" spans="1:7" x14ac:dyDescent="0.25">
      <c r="A42" s="6">
        <v>45384</v>
      </c>
      <c r="B42" s="4" t="s">
        <v>13</v>
      </c>
      <c r="C42" s="2" t="s">
        <v>5</v>
      </c>
      <c r="D42" s="2">
        <f>VLOOKUP(C42,'Product Lookup'!A:B,2,FALSE)</f>
        <v>18</v>
      </c>
      <c r="E42" s="2">
        <v>34</v>
      </c>
      <c r="F42" s="2">
        <v>640.49</v>
      </c>
      <c r="G42" s="2"/>
    </row>
    <row r="43" spans="1:7" x14ac:dyDescent="0.25">
      <c r="A43" s="6">
        <v>45435</v>
      </c>
      <c r="B43" s="4" t="s">
        <v>6</v>
      </c>
      <c r="C43" s="2" t="s">
        <v>9</v>
      </c>
      <c r="D43" s="2">
        <f>VLOOKUP(C43,'Product Lookup'!A:B,2,FALSE)</f>
        <v>9.75</v>
      </c>
      <c r="E43" s="2">
        <v>29</v>
      </c>
      <c r="F43" s="2">
        <v>293.98</v>
      </c>
      <c r="G43" s="2"/>
    </row>
    <row r="44" spans="1:7" x14ac:dyDescent="0.25">
      <c r="A44" s="6">
        <v>45386</v>
      </c>
      <c r="B44" s="4" t="s">
        <v>6</v>
      </c>
      <c r="C44" s="2" t="s">
        <v>4</v>
      </c>
      <c r="D44" s="2">
        <f>VLOOKUP(C44,'Product Lookup'!A:B,2,FALSE)</f>
        <v>12.5</v>
      </c>
      <c r="E44" s="2">
        <v>20</v>
      </c>
      <c r="F44" s="2">
        <v>246.62</v>
      </c>
      <c r="G44" s="2"/>
    </row>
    <row r="45" spans="1:7" x14ac:dyDescent="0.25">
      <c r="A45" s="6">
        <v>45412</v>
      </c>
      <c r="B45" s="4" t="s">
        <v>8</v>
      </c>
      <c r="C45" s="2" t="s">
        <v>5</v>
      </c>
      <c r="D45" s="2">
        <f>VLOOKUP(C45,'Product Lookup'!A:B,2,FALSE)</f>
        <v>18</v>
      </c>
      <c r="E45" s="2">
        <v>5</v>
      </c>
      <c r="F45" s="2">
        <v>92.53</v>
      </c>
      <c r="G45" s="2"/>
    </row>
    <row r="46" spans="1:7" x14ac:dyDescent="0.25">
      <c r="A46" s="6">
        <v>45391</v>
      </c>
      <c r="B46" s="4" t="s">
        <v>13</v>
      </c>
      <c r="C46" s="2" t="s">
        <v>5</v>
      </c>
      <c r="D46" s="2">
        <f>VLOOKUP(C46,'Product Lookup'!A:B,2,FALSE)</f>
        <v>18</v>
      </c>
      <c r="E46" s="2">
        <v>18</v>
      </c>
      <c r="F46" s="2">
        <v>321.92</v>
      </c>
      <c r="G46" s="2"/>
    </row>
    <row r="47" spans="1:7" x14ac:dyDescent="0.25">
      <c r="A47" s="6">
        <v>45493</v>
      </c>
      <c r="B47" s="4" t="s">
        <v>6</v>
      </c>
      <c r="C47" s="2" t="s">
        <v>12</v>
      </c>
      <c r="D47" s="2">
        <f>VLOOKUP(C47,'Product Lookup'!A:B,2,FALSE)</f>
        <v>60</v>
      </c>
      <c r="E47" s="2">
        <v>14</v>
      </c>
      <c r="F47" s="2">
        <v>840.94</v>
      </c>
      <c r="G47" s="2"/>
    </row>
    <row r="48" spans="1:7" x14ac:dyDescent="0.25">
      <c r="A48" s="6">
        <v>45499</v>
      </c>
      <c r="B48" s="4" t="s">
        <v>13</v>
      </c>
      <c r="C48" s="2" t="s">
        <v>7</v>
      </c>
      <c r="D48" s="2">
        <f>VLOOKUP(C48,'Product Lookup'!A:B,2,FALSE)</f>
        <v>45</v>
      </c>
      <c r="E48" s="2">
        <v>18</v>
      </c>
      <c r="F48" s="2">
        <v>782.09</v>
      </c>
      <c r="G48" s="2"/>
    </row>
    <row r="49" spans="1:7" x14ac:dyDescent="0.25">
      <c r="A49" s="6">
        <v>45488</v>
      </c>
      <c r="B49" s="4" t="s">
        <v>8</v>
      </c>
      <c r="C49" s="2" t="s">
        <v>12</v>
      </c>
      <c r="D49" s="2">
        <f>VLOOKUP(C49,'Product Lookup'!A:B,2,FALSE)</f>
        <v>60</v>
      </c>
      <c r="E49" s="2">
        <v>11</v>
      </c>
      <c r="F49" s="2">
        <v>656.95</v>
      </c>
      <c r="G49" s="2"/>
    </row>
    <row r="50" spans="1:7" x14ac:dyDescent="0.25">
      <c r="A50" s="6">
        <v>45408</v>
      </c>
      <c r="B50" s="4" t="s">
        <v>13</v>
      </c>
      <c r="C50" s="2" t="s">
        <v>7</v>
      </c>
      <c r="D50" s="2">
        <f>VLOOKUP(C50,'Product Lookup'!A:B,2,FALSE)</f>
        <v>45</v>
      </c>
      <c r="E50" s="2">
        <v>14</v>
      </c>
      <c r="F50" s="2">
        <v>640.72</v>
      </c>
      <c r="G50" s="2"/>
    </row>
    <row r="51" spans="1:7" x14ac:dyDescent="0.25">
      <c r="A51" s="6">
        <v>45489</v>
      </c>
      <c r="B51" s="4" t="s">
        <v>6</v>
      </c>
      <c r="C51" s="2" t="s">
        <v>4</v>
      </c>
      <c r="D51" s="2">
        <f>VLOOKUP(C51,'Product Lookup'!A:B,2,FALSE)</f>
        <v>12.5</v>
      </c>
      <c r="E51" s="2">
        <v>23</v>
      </c>
      <c r="F51" s="2">
        <v>281.70999999999998</v>
      </c>
      <c r="G51" s="2"/>
    </row>
    <row r="52" spans="1:7" x14ac:dyDescent="0.25">
      <c r="A52" s="6">
        <v>45299</v>
      </c>
      <c r="B52" s="4" t="s">
        <v>10</v>
      </c>
      <c r="C52" s="2" t="s">
        <v>11</v>
      </c>
      <c r="D52" s="2">
        <f>VLOOKUP(C52,'Product Lookup'!A:B,2,FALSE)</f>
        <v>27.25</v>
      </c>
      <c r="E52" s="2">
        <v>11</v>
      </c>
      <c r="F52" s="2">
        <v>309.95999999999998</v>
      </c>
      <c r="G52" s="2"/>
    </row>
    <row r="53" spans="1:7" x14ac:dyDescent="0.25">
      <c r="A53" s="6">
        <v>45455</v>
      </c>
      <c r="B53" s="4" t="s">
        <v>8</v>
      </c>
      <c r="C53" s="2" t="s">
        <v>5</v>
      </c>
      <c r="D53" s="2">
        <f>VLOOKUP(C53,'Product Lookup'!A:B,2,FALSE)</f>
        <v>18</v>
      </c>
      <c r="E53" s="2">
        <v>15</v>
      </c>
      <c r="F53" s="2">
        <v>260.27</v>
      </c>
      <c r="G53" s="2"/>
    </row>
    <row r="54" spans="1:7" x14ac:dyDescent="0.25">
      <c r="A54" s="6">
        <v>45421</v>
      </c>
      <c r="B54" s="4" t="s">
        <v>13</v>
      </c>
      <c r="C54" s="2" t="s">
        <v>5</v>
      </c>
      <c r="D54" s="2">
        <f>VLOOKUP(C54,'Product Lookup'!A:B,2,FALSE)</f>
        <v>18</v>
      </c>
      <c r="E54" s="2">
        <v>35</v>
      </c>
      <c r="F54" s="2">
        <v>658.57</v>
      </c>
      <c r="G54" s="2"/>
    </row>
    <row r="55" spans="1:7" x14ac:dyDescent="0.25">
      <c r="A55" s="6">
        <v>45391</v>
      </c>
      <c r="B55" s="4" t="s">
        <v>6</v>
      </c>
      <c r="C55" s="2" t="s">
        <v>12</v>
      </c>
      <c r="D55" s="2">
        <f>VLOOKUP(C55,'Product Lookup'!A:B,2,FALSE)</f>
        <v>60</v>
      </c>
      <c r="E55" s="2">
        <v>36</v>
      </c>
      <c r="F55" s="2">
        <v>2194.96</v>
      </c>
      <c r="G55" s="2"/>
    </row>
    <row r="56" spans="1:7" x14ac:dyDescent="0.25">
      <c r="A56" s="6">
        <v>45293</v>
      </c>
      <c r="B56" s="4" t="s">
        <v>6</v>
      </c>
      <c r="C56" s="2" t="s">
        <v>5</v>
      </c>
      <c r="D56" s="2">
        <f>VLOOKUP(C56,'Product Lookup'!A:B,2,FALSE)</f>
        <v>18</v>
      </c>
      <c r="E56" s="2">
        <v>34</v>
      </c>
      <c r="F56" s="2">
        <v>609.83000000000004</v>
      </c>
      <c r="G56" s="2"/>
    </row>
    <row r="57" spans="1:7" x14ac:dyDescent="0.25">
      <c r="A57" s="6">
        <v>45327</v>
      </c>
      <c r="B57" s="4" t="s">
        <v>8</v>
      </c>
      <c r="C57" s="2" t="s">
        <v>4</v>
      </c>
      <c r="D57" s="2">
        <f>VLOOKUP(C57,'Product Lookup'!A:B,2,FALSE)</f>
        <v>12.5</v>
      </c>
      <c r="E57" s="2">
        <v>10</v>
      </c>
      <c r="F57" s="2">
        <v>126.59</v>
      </c>
      <c r="G57" s="2"/>
    </row>
    <row r="58" spans="1:7" x14ac:dyDescent="0.25">
      <c r="A58" s="6">
        <v>45476</v>
      </c>
      <c r="B58" s="4" t="s">
        <v>13</v>
      </c>
      <c r="C58" s="2" t="s">
        <v>11</v>
      </c>
      <c r="D58" s="2">
        <f>VLOOKUP(C58,'Product Lookup'!A:B,2,FALSE)</f>
        <v>27.25</v>
      </c>
      <c r="E58" s="2">
        <v>20</v>
      </c>
      <c r="F58" s="2">
        <v>563.62</v>
      </c>
      <c r="G58" s="2"/>
    </row>
    <row r="59" spans="1:7" x14ac:dyDescent="0.25">
      <c r="A59" s="6">
        <v>45419</v>
      </c>
      <c r="B59" s="4" t="s">
        <v>6</v>
      </c>
      <c r="C59" s="2" t="s">
        <v>7</v>
      </c>
      <c r="D59" s="2">
        <f>VLOOKUP(C59,'Product Lookup'!A:B,2,FALSE)</f>
        <v>45</v>
      </c>
      <c r="E59" s="2">
        <v>9</v>
      </c>
      <c r="F59" s="2">
        <v>394.74</v>
      </c>
      <c r="G59" s="2"/>
    </row>
    <row r="60" spans="1:7" x14ac:dyDescent="0.25">
      <c r="A60" s="6">
        <v>45298</v>
      </c>
      <c r="B60" s="4" t="s">
        <v>10</v>
      </c>
      <c r="C60" s="2" t="s">
        <v>11</v>
      </c>
      <c r="D60" s="2">
        <f>VLOOKUP(C60,'Product Lookup'!A:B,2,FALSE)</f>
        <v>27.25</v>
      </c>
      <c r="E60" s="2">
        <v>16</v>
      </c>
      <c r="F60" s="2">
        <v>425.83</v>
      </c>
      <c r="G60" s="2"/>
    </row>
    <row r="61" spans="1:7" x14ac:dyDescent="0.25">
      <c r="A61" s="6">
        <v>45388</v>
      </c>
      <c r="B61" s="4" t="s">
        <v>10</v>
      </c>
      <c r="C61" s="2" t="s">
        <v>9</v>
      </c>
      <c r="D61" s="2">
        <f>VLOOKUP(C61,'Product Lookup'!A:B,2,FALSE)</f>
        <v>9.75</v>
      </c>
      <c r="E61" s="2">
        <v>13</v>
      </c>
      <c r="F61" s="2">
        <v>129.34</v>
      </c>
      <c r="G61" s="2"/>
    </row>
    <row r="62" spans="1:7" x14ac:dyDescent="0.25">
      <c r="A62" s="6">
        <v>45416</v>
      </c>
      <c r="B62" s="4" t="s">
        <v>13</v>
      </c>
      <c r="C62" s="2" t="s">
        <v>5</v>
      </c>
      <c r="D62" s="2">
        <f>VLOOKUP(C62,'Product Lookup'!A:B,2,FALSE)</f>
        <v>18</v>
      </c>
      <c r="E62" s="2">
        <v>4</v>
      </c>
      <c r="F62" s="2">
        <v>72.569999999999993</v>
      </c>
      <c r="G62" s="2"/>
    </row>
    <row r="63" spans="1:7" x14ac:dyDescent="0.25">
      <c r="A63" s="6">
        <v>45461</v>
      </c>
      <c r="B63" s="4" t="s">
        <v>10</v>
      </c>
      <c r="C63" s="2" t="s">
        <v>11</v>
      </c>
      <c r="D63" s="2">
        <f>VLOOKUP(C63,'Product Lookup'!A:B,2,FALSE)</f>
        <v>27.25</v>
      </c>
      <c r="E63" s="2">
        <v>27</v>
      </c>
      <c r="F63" s="2">
        <v>722.96</v>
      </c>
      <c r="G63" s="2"/>
    </row>
    <row r="64" spans="1:7" x14ac:dyDescent="0.25">
      <c r="A64" s="6">
        <v>45363</v>
      </c>
      <c r="B64" s="4" t="s">
        <v>13</v>
      </c>
      <c r="C64" s="2" t="s">
        <v>11</v>
      </c>
      <c r="D64" s="2">
        <f>VLOOKUP(C64,'Product Lookup'!A:B,2,FALSE)</f>
        <v>27.25</v>
      </c>
      <c r="E64" s="2">
        <v>37</v>
      </c>
      <c r="F64" s="2">
        <v>1015.93</v>
      </c>
      <c r="G64" s="2"/>
    </row>
    <row r="65" spans="1:7" x14ac:dyDescent="0.25">
      <c r="A65" s="6">
        <v>45482</v>
      </c>
      <c r="B65" s="4" t="s">
        <v>6</v>
      </c>
      <c r="C65" s="2" t="s">
        <v>5</v>
      </c>
      <c r="D65" s="2">
        <f>VLOOKUP(C65,'Product Lookup'!A:B,2,FALSE)</f>
        <v>18</v>
      </c>
      <c r="E65" s="2">
        <v>18</v>
      </c>
      <c r="F65" s="2">
        <v>332.61</v>
      </c>
      <c r="G65" s="2"/>
    </row>
    <row r="66" spans="1:7" x14ac:dyDescent="0.25">
      <c r="A66" s="6">
        <v>45334</v>
      </c>
      <c r="B66" s="4" t="s">
        <v>6</v>
      </c>
      <c r="C66" s="2" t="s">
        <v>9</v>
      </c>
      <c r="D66" s="2">
        <f>VLOOKUP(C66,'Product Lookup'!A:B,2,FALSE)</f>
        <v>9.75</v>
      </c>
      <c r="E66" s="2">
        <v>13</v>
      </c>
      <c r="F66" s="2">
        <v>129.44999999999999</v>
      </c>
      <c r="G66" s="2"/>
    </row>
    <row r="67" spans="1:7" x14ac:dyDescent="0.25">
      <c r="A67" s="6">
        <v>45470</v>
      </c>
      <c r="B67" s="4" t="s">
        <v>6</v>
      </c>
      <c r="C67" s="2" t="s">
        <v>5</v>
      </c>
      <c r="D67" s="2">
        <f>VLOOKUP(C67,'Product Lookup'!A:B,2,FALSE)</f>
        <v>18</v>
      </c>
      <c r="E67" s="2">
        <v>10</v>
      </c>
      <c r="F67" s="2">
        <v>182.81</v>
      </c>
      <c r="G67" s="2"/>
    </row>
    <row r="68" spans="1:7" x14ac:dyDescent="0.25">
      <c r="A68" s="6">
        <v>45425</v>
      </c>
      <c r="B68" s="4" t="s">
        <v>13</v>
      </c>
      <c r="C68" s="2" t="s">
        <v>12</v>
      </c>
      <c r="D68" s="2">
        <f>VLOOKUP(C68,'Product Lookup'!A:B,2,FALSE)</f>
        <v>60</v>
      </c>
      <c r="E68" s="2">
        <v>5</v>
      </c>
      <c r="F68" s="2">
        <v>306.41000000000003</v>
      </c>
      <c r="G68" s="2"/>
    </row>
    <row r="69" spans="1:7" x14ac:dyDescent="0.25">
      <c r="A69" s="6">
        <v>45302</v>
      </c>
      <c r="B69" s="4" t="s">
        <v>6</v>
      </c>
      <c r="C69" s="2" t="s">
        <v>7</v>
      </c>
      <c r="D69" s="2">
        <f>VLOOKUP(C69,'Product Lookup'!A:B,2,FALSE)</f>
        <v>45</v>
      </c>
      <c r="E69" s="2">
        <v>14</v>
      </c>
      <c r="F69" s="2">
        <v>640.69000000000005</v>
      </c>
      <c r="G69" s="2"/>
    </row>
    <row r="70" spans="1:7" x14ac:dyDescent="0.25">
      <c r="A70" s="6">
        <v>45394</v>
      </c>
      <c r="B70" s="4" t="s">
        <v>6</v>
      </c>
      <c r="C70" s="2" t="s">
        <v>4</v>
      </c>
      <c r="D70" s="2">
        <f>VLOOKUP(C70,'Product Lookup'!A:B,2,FALSE)</f>
        <v>12.5</v>
      </c>
      <c r="E70" s="2">
        <v>16</v>
      </c>
      <c r="F70" s="2">
        <v>30.2</v>
      </c>
      <c r="G70" s="2"/>
    </row>
    <row r="71" spans="1:7" x14ac:dyDescent="0.25">
      <c r="A71" s="6">
        <v>45494</v>
      </c>
      <c r="B71" s="4" t="s">
        <v>8</v>
      </c>
      <c r="C71" s="2" t="s">
        <v>12</v>
      </c>
      <c r="D71" s="2">
        <f>VLOOKUP(C71,'Product Lookup'!A:B,2,FALSE)</f>
        <v>60</v>
      </c>
      <c r="E71" s="2">
        <v>39</v>
      </c>
      <c r="F71" s="2">
        <v>2456.09</v>
      </c>
      <c r="G71" s="2"/>
    </row>
    <row r="72" spans="1:7" x14ac:dyDescent="0.25">
      <c r="A72" s="6">
        <v>45382</v>
      </c>
      <c r="B72" s="4" t="s">
        <v>6</v>
      </c>
      <c r="C72" s="2" t="s">
        <v>11</v>
      </c>
      <c r="D72" s="2">
        <f>VLOOKUP(C72,'Product Lookup'!A:B,2,FALSE)</f>
        <v>27.25</v>
      </c>
      <c r="E72" s="2">
        <v>4</v>
      </c>
      <c r="F72" s="2">
        <v>110.89</v>
      </c>
      <c r="G72" s="2"/>
    </row>
    <row r="73" spans="1:7" x14ac:dyDescent="0.25">
      <c r="A73" s="6">
        <v>45338</v>
      </c>
      <c r="B73" s="4" t="s">
        <v>6</v>
      </c>
      <c r="C73" s="2" t="s">
        <v>4</v>
      </c>
      <c r="D73" s="2">
        <f>VLOOKUP(C73,'Product Lookup'!A:B,2,FALSE)</f>
        <v>12.5</v>
      </c>
      <c r="E73" s="2">
        <v>29</v>
      </c>
      <c r="F73" s="2">
        <v>373.67</v>
      </c>
      <c r="G73" s="2"/>
    </row>
    <row r="74" spans="1:7" x14ac:dyDescent="0.25">
      <c r="A74" s="6">
        <v>45457</v>
      </c>
      <c r="B74" s="4" t="s">
        <v>8</v>
      </c>
      <c r="C74" s="2" t="s">
        <v>12</v>
      </c>
      <c r="D74" s="2">
        <f>VLOOKUP(C74,'Product Lookup'!A:B,2,FALSE)</f>
        <v>60</v>
      </c>
      <c r="E74" s="2">
        <v>7</v>
      </c>
      <c r="F74" s="2">
        <v>417.21</v>
      </c>
      <c r="G74" s="2"/>
    </row>
    <row r="75" spans="1:7" x14ac:dyDescent="0.25">
      <c r="A75" s="6">
        <v>45416</v>
      </c>
      <c r="B75" s="4" t="s">
        <v>13</v>
      </c>
      <c r="C75" s="2" t="s">
        <v>4</v>
      </c>
      <c r="D75" s="2">
        <f>VLOOKUP(C75,'Product Lookup'!A:B,2,FALSE)</f>
        <v>12.5</v>
      </c>
      <c r="E75" s="2">
        <v>11</v>
      </c>
      <c r="F75" s="2">
        <v>135.84</v>
      </c>
      <c r="G75" s="2"/>
    </row>
    <row r="76" spans="1:7" x14ac:dyDescent="0.25">
      <c r="A76" s="6">
        <v>45359</v>
      </c>
      <c r="B76" s="4" t="s">
        <v>8</v>
      </c>
      <c r="C76" s="2" t="s">
        <v>7</v>
      </c>
      <c r="D76" s="2">
        <f>VLOOKUP(C76,'Product Lookup'!A:B,2,FALSE)</f>
        <v>45</v>
      </c>
      <c r="E76" s="2">
        <v>21</v>
      </c>
      <c r="F76" s="2">
        <v>938.99</v>
      </c>
      <c r="G76" s="2"/>
    </row>
    <row r="77" spans="1:7" x14ac:dyDescent="0.25">
      <c r="A77" s="6">
        <v>45498</v>
      </c>
      <c r="B77" s="4" t="s">
        <v>10</v>
      </c>
      <c r="C77" s="2" t="s">
        <v>5</v>
      </c>
      <c r="D77" s="2">
        <f>VLOOKUP(C77,'Product Lookup'!A:B,2,FALSE)</f>
        <v>18</v>
      </c>
      <c r="E77" s="2">
        <v>17</v>
      </c>
      <c r="F77" s="2">
        <v>294.23</v>
      </c>
      <c r="G77" s="2"/>
    </row>
    <row r="78" spans="1:7" x14ac:dyDescent="0.25">
      <c r="A78" s="6">
        <v>45484</v>
      </c>
      <c r="B78" s="4" t="s">
        <v>8</v>
      </c>
      <c r="C78" s="2" t="s">
        <v>9</v>
      </c>
      <c r="D78" s="2">
        <f>VLOOKUP(C78,'Product Lookup'!A:B,2,FALSE)</f>
        <v>9.75</v>
      </c>
      <c r="E78" s="2">
        <v>37</v>
      </c>
      <c r="F78" s="2">
        <v>378.65</v>
      </c>
      <c r="G78" s="2"/>
    </row>
    <row r="79" spans="1:7" x14ac:dyDescent="0.25">
      <c r="A79" s="6">
        <v>45353</v>
      </c>
      <c r="B79" s="4" t="s">
        <v>6</v>
      </c>
      <c r="C79" s="2" t="s">
        <v>9</v>
      </c>
      <c r="D79" s="2">
        <f>VLOOKUP(C79,'Product Lookup'!A:B,2,FALSE)</f>
        <v>9.75</v>
      </c>
      <c r="E79" s="2">
        <v>14</v>
      </c>
      <c r="F79" s="2">
        <v>136.02000000000001</v>
      </c>
      <c r="G79" s="2"/>
    </row>
    <row r="80" spans="1:7" x14ac:dyDescent="0.25">
      <c r="A80" s="6">
        <v>45493</v>
      </c>
      <c r="B80" s="4" t="s">
        <v>6</v>
      </c>
      <c r="C80" s="2" t="s">
        <v>12</v>
      </c>
      <c r="D80" s="2">
        <f>VLOOKUP(C80,'Product Lookup'!A:B,2,FALSE)</f>
        <v>60</v>
      </c>
      <c r="E80" s="2">
        <v>15</v>
      </c>
      <c r="F80" s="2">
        <v>872.96</v>
      </c>
      <c r="G80" s="2"/>
    </row>
    <row r="81" spans="1:7" x14ac:dyDescent="0.25">
      <c r="A81" s="6">
        <v>45386</v>
      </c>
      <c r="B81" s="4" t="s">
        <v>13</v>
      </c>
      <c r="C81" s="2" t="s">
        <v>9</v>
      </c>
      <c r="D81" s="2">
        <f>VLOOKUP(C81,'Product Lookup'!A:B,2,FALSE)</f>
        <v>9.75</v>
      </c>
      <c r="E81" s="2">
        <v>20</v>
      </c>
      <c r="F81" s="2">
        <v>197.18</v>
      </c>
      <c r="G81" s="2"/>
    </row>
    <row r="82" spans="1:7" x14ac:dyDescent="0.25">
      <c r="A82" s="6">
        <v>45354</v>
      </c>
      <c r="B82" s="4" t="s">
        <v>8</v>
      </c>
      <c r="C82" s="2" t="s">
        <v>12</v>
      </c>
      <c r="D82" s="2">
        <f>VLOOKUP(C82,'Product Lookup'!A:B,2,FALSE)</f>
        <v>60</v>
      </c>
      <c r="E82" s="2">
        <v>37</v>
      </c>
      <c r="F82" s="2">
        <v>2152.16</v>
      </c>
      <c r="G82" s="2"/>
    </row>
    <row r="83" spans="1:7" x14ac:dyDescent="0.25">
      <c r="A83" s="6">
        <v>45434</v>
      </c>
      <c r="B83" s="4" t="s">
        <v>8</v>
      </c>
      <c r="C83" s="2" t="s">
        <v>5</v>
      </c>
      <c r="D83" s="2">
        <f>VLOOKUP(C83,'Product Lookup'!A:B,2,FALSE)</f>
        <v>18</v>
      </c>
      <c r="E83" s="2">
        <v>30</v>
      </c>
      <c r="F83" s="2">
        <v>549.04999999999995</v>
      </c>
      <c r="G83" s="2"/>
    </row>
    <row r="84" spans="1:7" x14ac:dyDescent="0.25">
      <c r="A84" s="6">
        <v>45292</v>
      </c>
      <c r="B84" s="4" t="s">
        <v>10</v>
      </c>
      <c r="C84" s="2" t="s">
        <v>4</v>
      </c>
      <c r="D84" s="2">
        <f>VLOOKUP(C84,'Product Lookup'!A:B,2,FALSE)</f>
        <v>12.5</v>
      </c>
      <c r="E84" s="2">
        <v>22</v>
      </c>
      <c r="F84" s="2">
        <v>278.39</v>
      </c>
      <c r="G84" s="2"/>
    </row>
    <row r="85" spans="1:7" x14ac:dyDescent="0.25">
      <c r="A85" s="6">
        <v>45344</v>
      </c>
      <c r="B85" s="4" t="s">
        <v>6</v>
      </c>
      <c r="C85" s="2" t="s">
        <v>4</v>
      </c>
      <c r="D85" s="2">
        <f>VLOOKUP(C85,'Product Lookup'!A:B,2,FALSE)</f>
        <v>12.5</v>
      </c>
      <c r="E85" s="2">
        <v>6</v>
      </c>
      <c r="F85" s="2">
        <v>76.010000000000005</v>
      </c>
      <c r="G85" s="2"/>
    </row>
    <row r="86" spans="1:7" x14ac:dyDescent="0.25">
      <c r="A86" s="6">
        <v>45352</v>
      </c>
      <c r="B86" s="4" t="s">
        <v>10</v>
      </c>
      <c r="C86" s="2" t="s">
        <v>9</v>
      </c>
      <c r="D86" s="2">
        <f>VLOOKUP(C86,'Product Lookup'!A:B,2,FALSE)</f>
        <v>9.75</v>
      </c>
      <c r="E86" s="2">
        <v>6</v>
      </c>
      <c r="F86" s="2">
        <v>56.38</v>
      </c>
      <c r="G86" s="2"/>
    </row>
    <row r="87" spans="1:7" x14ac:dyDescent="0.25">
      <c r="A87" s="6">
        <v>45458</v>
      </c>
      <c r="B87" s="4" t="s">
        <v>8</v>
      </c>
      <c r="C87" s="2" t="s">
        <v>5</v>
      </c>
      <c r="D87" s="2">
        <f>VLOOKUP(C87,'Product Lookup'!A:B,2,FALSE)</f>
        <v>18</v>
      </c>
      <c r="E87" s="2">
        <v>2</v>
      </c>
      <c r="F87" s="2">
        <v>36.44</v>
      </c>
      <c r="G87" s="2"/>
    </row>
    <row r="88" spans="1:7" x14ac:dyDescent="0.25">
      <c r="A88" s="6">
        <v>45464</v>
      </c>
      <c r="B88" s="4" t="s">
        <v>6</v>
      </c>
      <c r="C88" s="2" t="s">
        <v>9</v>
      </c>
      <c r="D88" s="2">
        <f>VLOOKUP(C88,'Product Lookup'!A:B,2,FALSE)</f>
        <v>9.75</v>
      </c>
      <c r="E88" s="2">
        <v>16</v>
      </c>
      <c r="F88" s="2">
        <v>157.22999999999999</v>
      </c>
      <c r="G88" s="2"/>
    </row>
    <row r="89" spans="1:7" x14ac:dyDescent="0.25">
      <c r="A89" s="6">
        <v>45319</v>
      </c>
      <c r="B89" s="4" t="s">
        <v>13</v>
      </c>
      <c r="C89" s="2" t="s">
        <v>9</v>
      </c>
      <c r="D89" s="2">
        <f>VLOOKUP(C89,'Product Lookup'!A:B,2,FALSE)</f>
        <v>9.75</v>
      </c>
      <c r="E89" s="2">
        <v>29</v>
      </c>
      <c r="F89" s="2">
        <v>272.58</v>
      </c>
      <c r="G89" s="2"/>
    </row>
    <row r="90" spans="1:7" x14ac:dyDescent="0.25">
      <c r="A90" s="6">
        <v>45468</v>
      </c>
      <c r="B90" s="4" t="s">
        <v>8</v>
      </c>
      <c r="C90" s="2" t="s">
        <v>11</v>
      </c>
      <c r="D90" s="2">
        <f>VLOOKUP(C90,'Product Lookup'!A:B,2,FALSE)</f>
        <v>27.25</v>
      </c>
      <c r="E90" s="2">
        <v>39</v>
      </c>
      <c r="F90" s="2">
        <v>1095.22</v>
      </c>
      <c r="G90" s="2"/>
    </row>
    <row r="91" spans="1:7" x14ac:dyDescent="0.25">
      <c r="A91" s="6">
        <v>45495</v>
      </c>
      <c r="B91" s="4" t="s">
        <v>10</v>
      </c>
      <c r="C91" s="2" t="s">
        <v>11</v>
      </c>
      <c r="D91" s="2">
        <f>VLOOKUP(C91,'Product Lookup'!A:B,2,FALSE)</f>
        <v>27.25</v>
      </c>
      <c r="E91" s="2">
        <v>16</v>
      </c>
      <c r="F91" s="2">
        <v>443.28</v>
      </c>
      <c r="G91" s="2"/>
    </row>
    <row r="92" spans="1:7" x14ac:dyDescent="0.25">
      <c r="A92" s="6">
        <v>45354</v>
      </c>
      <c r="B92" s="4" t="s">
        <v>6</v>
      </c>
      <c r="C92" s="2" t="s">
        <v>4</v>
      </c>
      <c r="D92" s="2">
        <f>VLOOKUP(C92,'Product Lookup'!A:B,2,FALSE)</f>
        <v>12.5</v>
      </c>
      <c r="E92" s="2">
        <v>7</v>
      </c>
      <c r="F92" s="2">
        <v>88.89</v>
      </c>
      <c r="G92" s="2"/>
    </row>
    <row r="93" spans="1:7" x14ac:dyDescent="0.25">
      <c r="A93" s="6">
        <v>45430</v>
      </c>
      <c r="B93" s="4" t="s">
        <v>10</v>
      </c>
      <c r="C93" s="2" t="s">
        <v>4</v>
      </c>
      <c r="D93" s="2">
        <f>VLOOKUP(C93,'Product Lookup'!A:B,2,FALSE)</f>
        <v>12.5</v>
      </c>
      <c r="E93" s="2">
        <v>38</v>
      </c>
      <c r="F93" s="2">
        <v>473.9</v>
      </c>
      <c r="G93" s="2"/>
    </row>
    <row r="94" spans="1:7" x14ac:dyDescent="0.25">
      <c r="A94" s="6">
        <v>45394</v>
      </c>
      <c r="B94" s="4" t="s">
        <v>8</v>
      </c>
      <c r="C94" s="2" t="s">
        <v>9</v>
      </c>
      <c r="D94" s="2">
        <f>VLOOKUP(C94,'Product Lookup'!A:B,2,FALSE)</f>
        <v>9.75</v>
      </c>
      <c r="E94" s="2">
        <v>21</v>
      </c>
      <c r="F94" s="2">
        <v>198.87</v>
      </c>
      <c r="G94" s="2"/>
    </row>
    <row r="95" spans="1:7" x14ac:dyDescent="0.25">
      <c r="A95" s="6">
        <v>45421</v>
      </c>
      <c r="B95" s="4" t="s">
        <v>13</v>
      </c>
      <c r="C95" s="2" t="s">
        <v>5</v>
      </c>
      <c r="D95" s="2">
        <f>VLOOKUP(C95,'Product Lookup'!A:B,2,FALSE)</f>
        <v>18</v>
      </c>
      <c r="E95" s="2">
        <v>29</v>
      </c>
      <c r="F95" s="2">
        <v>526.66</v>
      </c>
      <c r="G95" s="2"/>
    </row>
    <row r="96" spans="1:7" x14ac:dyDescent="0.25">
      <c r="A96" s="6">
        <v>45394</v>
      </c>
      <c r="B96" s="4" t="s">
        <v>8</v>
      </c>
      <c r="C96" s="2" t="s">
        <v>7</v>
      </c>
      <c r="D96" s="2">
        <f>VLOOKUP(C96,'Product Lookup'!A:B,2,FALSE)</f>
        <v>45</v>
      </c>
      <c r="E96" s="2">
        <v>12</v>
      </c>
      <c r="F96" s="2">
        <v>544.35</v>
      </c>
      <c r="G96" s="2"/>
    </row>
    <row r="97" spans="1:7" x14ac:dyDescent="0.25">
      <c r="A97" s="6">
        <v>45470</v>
      </c>
      <c r="B97" s="4" t="s">
        <v>13</v>
      </c>
      <c r="C97" s="2" t="s">
        <v>12</v>
      </c>
      <c r="D97" s="2">
        <f>VLOOKUP(C97,'Product Lookup'!A:B,2,FALSE)</f>
        <v>60</v>
      </c>
      <c r="E97" s="2">
        <v>25</v>
      </c>
      <c r="F97" s="2">
        <v>50.12</v>
      </c>
      <c r="G97" s="2"/>
    </row>
    <row r="98" spans="1:7" x14ac:dyDescent="0.25">
      <c r="A98"/>
      <c r="B98" s="4"/>
      <c r="D98" s="2"/>
    </row>
    <row r="99" spans="1:7" x14ac:dyDescent="0.25">
      <c r="A99"/>
      <c r="B99" s="4"/>
      <c r="D99" s="2"/>
    </row>
    <row r="100" spans="1:7" x14ac:dyDescent="0.25">
      <c r="A100"/>
      <c r="B100" s="4"/>
      <c r="D100" s="2"/>
    </row>
    <row r="101" spans="1:7" x14ac:dyDescent="0.25">
      <c r="A101"/>
      <c r="B101" s="4"/>
      <c r="D101" s="2"/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 x14ac:dyDescent="0.25"/>
  <cols>
    <col min="1" max="1" width="14" customWidth="1"/>
    <col min="2" max="2" width="10" customWidth="1"/>
  </cols>
  <sheetData>
    <row r="1" spans="1:2" x14ac:dyDescent="0.25">
      <c r="A1" s="1" t="s">
        <v>1</v>
      </c>
      <c r="B1" s="1" t="s">
        <v>14</v>
      </c>
    </row>
    <row r="2" spans="1:2" x14ac:dyDescent="0.25">
      <c r="A2" s="2" t="s">
        <v>4</v>
      </c>
      <c r="B2" s="2">
        <v>12.5</v>
      </c>
    </row>
    <row r="3" spans="1:2" x14ac:dyDescent="0.25">
      <c r="A3" s="2" t="s">
        <v>5</v>
      </c>
      <c r="B3" s="2">
        <v>18</v>
      </c>
    </row>
    <row r="4" spans="1:2" x14ac:dyDescent="0.25">
      <c r="A4" s="2" t="s">
        <v>7</v>
      </c>
      <c r="B4" s="2">
        <v>45</v>
      </c>
    </row>
    <row r="5" spans="1:2" x14ac:dyDescent="0.25">
      <c r="A5" s="2" t="s">
        <v>12</v>
      </c>
      <c r="B5" s="2">
        <v>60</v>
      </c>
    </row>
    <row r="6" spans="1:2" x14ac:dyDescent="0.25">
      <c r="A6" s="2" t="s">
        <v>9</v>
      </c>
      <c r="B6" s="2">
        <v>9.75</v>
      </c>
    </row>
    <row r="7" spans="1:2" x14ac:dyDescent="0.25">
      <c r="A7" s="2" t="s">
        <v>11</v>
      </c>
      <c r="B7" s="2">
        <v>27.25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Sales Data</vt:lpstr>
      <vt:lpstr>Product Lookup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PATRICK</cp:lastModifiedBy>
  <dcterms:created xsi:type="dcterms:W3CDTF">2026-09-19T17:12:11Z</dcterms:created>
  <dcterms:modified xsi:type="dcterms:W3CDTF">2026-09-29T07:22:36Z</dcterms:modified>
</cp:coreProperties>
</file>